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samtwertung_Einz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8">
    <font>
      <name val="Calibri"/>
      <family val="2"/>
      <color theme="1"/>
      <sz val="11"/>
      <scheme val="minor"/>
    </font>
    <font>
      <name val="Arial"/>
      <family val="2"/>
      <sz val="14"/>
      <u val="single"/>
    </font>
    <font>
      <name val="Aptos Narrow"/>
      <family val="2"/>
      <color theme="1"/>
      <sz val="11"/>
      <scheme val="minor"/>
    </font>
    <font>
      <name val="Arial"/>
      <family val="2"/>
      <b val="1"/>
      <sz val="10"/>
    </font>
    <font>
      <name val="Arial"/>
      <family val="2"/>
      <b val="1"/>
      <color indexed="10"/>
      <sz val="10"/>
    </font>
    <font>
      <name val="Arial"/>
      <family val="2"/>
      <color theme="1"/>
      <sz val="10"/>
    </font>
    <font>
      <name val="Arial"/>
      <family val="2"/>
      <sz val="10"/>
    </font>
    <font>
      <name val="Arial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ck"/>
      <right style="thin"/>
      <top style="thick"/>
      <bottom style="thin"/>
    </border>
    <border>
      <left style="thin"/>
      <right style="thin"/>
      <top style="thick"/>
      <bottom style="thin"/>
    </border>
    <border>
      <left style="thin"/>
      <right style="thick"/>
      <top style="thick"/>
      <bottom style="thin"/>
    </border>
    <border>
      <left style="thick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2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2" fontId="4" fillId="0" borderId="2" applyAlignment="1" pivotButton="0" quotePrefix="0" xfId="0">
      <alignment horizontal="center"/>
    </xf>
    <xf numFmtId="0" fontId="0" fillId="0" borderId="3" pivotButton="0" quotePrefix="0" xfId="0"/>
    <xf numFmtId="0" fontId="4" fillId="0" borderId="2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2" fontId="3" fillId="0" borderId="4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  <xf numFmtId="0" fontId="5" fillId="0" borderId="5" applyAlignment="1" pivotButton="0" quotePrefix="0" xfId="0">
      <alignment horizontal="center"/>
    </xf>
    <xf numFmtId="0" fontId="5" fillId="0" borderId="0" pivotButton="0" quotePrefix="0" xfId="0"/>
    <xf numFmtId="2" fontId="3" fillId="0" borderId="5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2" fontId="3" fillId="0" borderId="6" applyAlignment="1" pivotButton="0" quotePrefix="0" xfId="0">
      <alignment horizontal="center"/>
    </xf>
    <xf numFmtId="0" fontId="6" fillId="2" borderId="7" applyAlignment="1" pivotButton="0" quotePrefix="0" xfId="0">
      <alignment horizontal="center"/>
    </xf>
    <xf numFmtId="0" fontId="7" fillId="0" borderId="8" applyAlignment="1" pivotButton="0" quotePrefix="0" xfId="0">
      <alignment horizontal="center"/>
    </xf>
    <xf numFmtId="1" fontId="7" fillId="0" borderId="8" applyAlignment="1" pivotButton="0" quotePrefix="0" xfId="0">
      <alignment horizontal="center"/>
    </xf>
    <xf numFmtId="2" fontId="7" fillId="0" borderId="8" applyAlignment="1" pivotButton="0" quotePrefix="0" xfId="0">
      <alignment horizontal="center"/>
    </xf>
    <xf numFmtId="164" fontId="6" fillId="0" borderId="8" applyAlignment="1" pivotButton="0" quotePrefix="0" xfId="0">
      <alignment horizontal="center"/>
    </xf>
    <xf numFmtId="1" fontId="6" fillId="0" borderId="9" applyAlignment="1" pivotButton="0" quotePrefix="0" xfId="0">
      <alignment horizontal="center"/>
    </xf>
    <xf numFmtId="0" fontId="6" fillId="2" borderId="10" applyAlignment="1" pivotButton="0" quotePrefix="0" xfId="0">
      <alignment horizontal="center"/>
    </xf>
    <xf numFmtId="0" fontId="7" fillId="0" borderId="11" applyAlignment="1" pivotButton="0" quotePrefix="0" xfId="0">
      <alignment horizontal="center"/>
    </xf>
    <xf numFmtId="1" fontId="7" fillId="0" borderId="11" applyAlignment="1" pivotButton="0" quotePrefix="0" xfId="0">
      <alignment horizontal="center"/>
    </xf>
    <xf numFmtId="2" fontId="7" fillId="0" borderId="11" applyAlignment="1" pivotButton="0" quotePrefix="0" xfId="0">
      <alignment horizontal="center"/>
    </xf>
    <xf numFmtId="164" fontId="6" fillId="0" borderId="11" applyAlignment="1" pivotButton="0" quotePrefix="0" xfId="0">
      <alignment horizontal="center"/>
    </xf>
    <xf numFmtId="1" fontId="6" fillId="0" borderId="12" applyAlignment="1" pivotButton="0" quotePrefix="0" xfId="0">
      <alignment horizontal="center"/>
    </xf>
    <xf numFmtId="0" fontId="6" fillId="2" borderId="13" applyAlignment="1" pivotButton="0" quotePrefix="0" xfId="0">
      <alignment horizontal="center"/>
    </xf>
    <xf numFmtId="0" fontId="7" fillId="0" borderId="14" applyAlignment="1" pivotButton="0" quotePrefix="0" xfId="0">
      <alignment horizontal="center"/>
    </xf>
    <xf numFmtId="1" fontId="7" fillId="0" borderId="14" applyAlignment="1" pivotButton="0" quotePrefix="0" xfId="0">
      <alignment horizontal="center"/>
    </xf>
    <xf numFmtId="2" fontId="7" fillId="0" borderId="14" applyAlignment="1" pivotButton="0" quotePrefix="0" xfId="0">
      <alignment horizontal="center"/>
    </xf>
    <xf numFmtId="164" fontId="6" fillId="0" borderId="14" applyAlignment="1" pivotButton="0" quotePrefix="0" xfId="0">
      <alignment horizontal="center"/>
    </xf>
    <xf numFmtId="1" fontId="6" fillId="0" borderId="15" applyAlignment="1" pivotButton="0" quotePrefix="0" xfId="0">
      <alignment horizontal="center"/>
    </xf>
    <xf numFmtId="0" fontId="6" fillId="2" borderId="11" applyAlignment="1" pivotButton="0" quotePrefix="0" xfId="0">
      <alignment horizontal="center"/>
    </xf>
    <xf numFmtId="1" fontId="6" fillId="0" borderId="1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8"/>
  <sheetViews>
    <sheetView workbookViewId="0">
      <selection activeCell="A1" sqref="A1"/>
    </sheetView>
  </sheetViews>
  <sheetFormatPr baseColWidth="8" defaultRowHeight="15"/>
  <cols>
    <col width="13" customWidth="1" min="1" max="1"/>
    <col width="15.28515625" customWidth="1" min="2" max="2"/>
    <col width="13" customWidth="1" min="3" max="3"/>
    <col width="19.7109375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1" t="inlineStr">
        <is>
          <t>1. Halbstundenlauf - W</t>
        </is>
      </c>
      <c r="E1" s="2" t="n"/>
      <c r="F1" s="3" t="n"/>
      <c r="G1" s="3" t="n"/>
      <c r="H1" s="3" t="n"/>
      <c r="I1" s="3" t="n"/>
      <c r="J1" s="3" t="n"/>
      <c r="K1" s="2" t="n"/>
      <c r="L1" s="3" t="n"/>
      <c r="M1" s="3" t="n"/>
      <c r="N1" s="3" t="n"/>
    </row>
    <row r="2">
      <c r="A2" s="4" t="n"/>
      <c r="B2" s="3" t="n"/>
      <c r="C2" s="3" t="n"/>
      <c r="D2" s="3" t="n"/>
      <c r="E2" s="5" t="inlineStr">
        <is>
          <t>1. Lauf</t>
        </is>
      </c>
      <c r="F2" s="6" t="n"/>
      <c r="G2" s="7" t="inlineStr">
        <is>
          <t>2. Lauf</t>
        </is>
      </c>
      <c r="H2" s="6" t="n"/>
      <c r="I2" s="7" t="inlineStr">
        <is>
          <t>3. Lauf</t>
        </is>
      </c>
      <c r="J2" s="6" t="n"/>
      <c r="K2" s="5" t="inlineStr">
        <is>
          <t>4. Lauf</t>
        </is>
      </c>
      <c r="L2" s="6" t="n"/>
      <c r="M2" s="7" t="inlineStr">
        <is>
          <t>5. Lauf</t>
        </is>
      </c>
      <c r="N2" s="6" t="n"/>
      <c r="O2" s="7" t="inlineStr">
        <is>
          <t>Gesamt</t>
        </is>
      </c>
      <c r="P2" s="6" t="n"/>
    </row>
    <row r="3">
      <c r="A3" s="8" t="inlineStr">
        <is>
          <t>Platz</t>
        </is>
      </c>
      <c r="B3" s="8" t="inlineStr">
        <is>
          <t>Vorname/Name</t>
        </is>
      </c>
      <c r="C3" s="9" t="inlineStr">
        <is>
          <t>Jg.</t>
        </is>
      </c>
      <c r="D3" s="8" t="inlineStr">
        <is>
          <t>Verein</t>
        </is>
      </c>
      <c r="E3" s="10" t="inlineStr">
        <is>
          <t>Laufstr.</t>
        </is>
      </c>
      <c r="F3" s="8" t="inlineStr">
        <is>
          <t>Wertung</t>
        </is>
      </c>
      <c r="G3" s="8" t="inlineStr">
        <is>
          <t>Laufstr.</t>
        </is>
      </c>
      <c r="H3" s="8" t="inlineStr">
        <is>
          <t>Wertung</t>
        </is>
      </c>
      <c r="I3" s="8" t="inlineStr">
        <is>
          <t>Laufstr.</t>
        </is>
      </c>
      <c r="J3" s="8" t="inlineStr">
        <is>
          <t>Wertung</t>
        </is>
      </c>
      <c r="K3" s="10" t="inlineStr">
        <is>
          <t>Laufstr.</t>
        </is>
      </c>
      <c r="L3" s="8" t="inlineStr">
        <is>
          <t>Wertung</t>
        </is>
      </c>
      <c r="M3" s="8" t="inlineStr">
        <is>
          <t>Laufstr.</t>
        </is>
      </c>
      <c r="N3" s="8" t="inlineStr">
        <is>
          <t>Wertung</t>
        </is>
      </c>
      <c r="O3" s="10" t="inlineStr">
        <is>
          <t>Laufstr.</t>
        </is>
      </c>
      <c r="P3" s="8" t="inlineStr">
        <is>
          <t>Wertung</t>
        </is>
      </c>
    </row>
    <row r="4">
      <c r="A4" s="11" t="n"/>
      <c r="B4" s="12" t="n"/>
      <c r="C4" s="13" t="n"/>
      <c r="D4" s="12" t="n"/>
      <c r="E4" s="11" t="inlineStr">
        <is>
          <t>(km)</t>
        </is>
      </c>
      <c r="F4" s="11" t="inlineStr">
        <is>
          <t>(Punkte)</t>
        </is>
      </c>
      <c r="G4" s="11" t="inlineStr">
        <is>
          <t>(km)</t>
        </is>
      </c>
      <c r="H4" s="11" t="inlineStr">
        <is>
          <t>(Punkte)</t>
        </is>
      </c>
      <c r="I4" s="11" t="inlineStr">
        <is>
          <t>(km)</t>
        </is>
      </c>
      <c r="J4" s="11" t="inlineStr">
        <is>
          <t>(Punkte)</t>
        </is>
      </c>
      <c r="K4" s="14" t="inlineStr">
        <is>
          <t>(km)</t>
        </is>
      </c>
      <c r="L4" s="15" t="inlineStr">
        <is>
          <t>(Punkte)</t>
        </is>
      </c>
      <c r="M4" s="11" t="inlineStr">
        <is>
          <t>(km)</t>
        </is>
      </c>
      <c r="N4" s="11" t="inlineStr">
        <is>
          <t>(Punkte)</t>
        </is>
      </c>
      <c r="O4" s="16" t="inlineStr">
        <is>
          <t>(km)</t>
        </is>
      </c>
      <c r="P4" s="15" t="inlineStr">
        <is>
          <t>(Punkte)</t>
        </is>
      </c>
    </row>
    <row r="5">
      <c r="A5" s="17" t="n">
        <v>1</v>
      </c>
      <c r="B5" s="18" t="inlineStr">
        <is>
          <t>Britta Rossow</t>
        </is>
      </c>
      <c r="C5" s="18" t="n">
        <v>1961</v>
      </c>
      <c r="D5" s="18" t="inlineStr">
        <is>
          <t>HSG</t>
        </is>
      </c>
      <c r="E5" s="19" t="n">
        <v>4.794</v>
      </c>
      <c r="F5" s="19" t="n">
        <v>37</v>
      </c>
      <c r="G5" s="20" t="n">
        <v>4.867</v>
      </c>
      <c r="H5" s="18" t="n">
        <v>39</v>
      </c>
      <c r="I5" s="20" t="n">
        <v>4.805</v>
      </c>
      <c r="J5" s="19" t="n">
        <v>38</v>
      </c>
      <c r="K5" s="20" t="n">
        <v>4.628</v>
      </c>
      <c r="L5" s="19" t="n">
        <v>37</v>
      </c>
      <c r="M5" s="20" t="n">
        <v>4.66</v>
      </c>
      <c r="N5" s="19" t="n">
        <v>34</v>
      </c>
      <c r="O5" s="21">
        <f>IF(COUNT(E5,G5,I5,K5,M5)=5,(SUM(E5,G5,I5,K5,M5)-MIN(E5,G5,I5,K5,M5)), SUM(E5,G5,I5,K5,M5))</f>
        <v/>
      </c>
      <c r="P5" s="22">
        <f>IF(COUNT(F5,H5,J5,L5,N5)=5,(SUM(F5,H5,J5,L5,N5)-MIN(F5,H5,J5,L5,N5)), SUM(F5,H5,J5,L5,N5))</f>
        <v/>
      </c>
    </row>
    <row r="6">
      <c r="A6" s="23" t="n">
        <v>2</v>
      </c>
      <c r="B6" s="24" t="inlineStr">
        <is>
          <t>Frederike Buhr</t>
        </is>
      </c>
      <c r="C6" s="24" t="n">
        <v>2001</v>
      </c>
      <c r="D6" s="24" t="n"/>
      <c r="E6" s="25" t="n"/>
      <c r="F6" s="25" t="n"/>
      <c r="G6" s="26" t="n"/>
      <c r="H6" s="24" t="n"/>
      <c r="I6" s="26" t="n">
        <v>6.281</v>
      </c>
      <c r="J6" s="25" t="n">
        <v>50</v>
      </c>
      <c r="K6" s="26" t="n">
        <v>6.456</v>
      </c>
      <c r="L6" s="25" t="n">
        <v>50</v>
      </c>
      <c r="M6" s="26" t="n">
        <v>6.392</v>
      </c>
      <c r="N6" s="25" t="n">
        <v>50</v>
      </c>
      <c r="O6" s="27">
        <f>IF(COUNT(E6,G6,I6,K6,M6)=6,(SUM(E6,G6,I6,K6,M6)-MIN(E6,G6,I6,K6,M6)), SUM(E6,G6,I6,K6,M6))</f>
        <v/>
      </c>
      <c r="P6" s="28">
        <f>IF(COUNT(F6,H6,J6,L6,N6)=6,(SUM(F6,H6,J6,L6,N6)-MIN(F6,H6,J6,L6,N6)), SUM(F6,H6,J6,L6,N6))</f>
        <v/>
      </c>
    </row>
    <row r="7">
      <c r="A7" s="29" t="n">
        <v>3</v>
      </c>
      <c r="B7" s="30" t="inlineStr">
        <is>
          <t>Talina Amelie Ewaldt</t>
        </is>
      </c>
      <c r="C7" s="30" t="n">
        <v>2012</v>
      </c>
      <c r="D7" s="30" t="inlineStr">
        <is>
          <t>HSG inklusiv</t>
        </is>
      </c>
      <c r="E7" s="31" t="n">
        <v>5.953</v>
      </c>
      <c r="F7" s="31" t="n">
        <v>45</v>
      </c>
      <c r="G7" s="32" t="n">
        <v>5.765</v>
      </c>
      <c r="H7" s="30" t="n">
        <v>45</v>
      </c>
      <c r="I7" s="32" t="n"/>
      <c r="J7" s="31" t="n"/>
      <c r="K7" s="32" t="n"/>
      <c r="L7" s="31" t="n"/>
      <c r="M7" s="32" t="n">
        <v>6.127</v>
      </c>
      <c r="N7" s="31" t="n">
        <v>40</v>
      </c>
      <c r="O7" s="33">
        <f>IF(COUNT(E7,G7,I7,K7,M7)=7,(SUM(E7,G7,I7,K7,M7)-MIN(E7,G7,I7,K7,M7)), SUM(E7,G7,I7,K7,M7))</f>
        <v/>
      </c>
      <c r="P7" s="34">
        <f>IF(COUNT(F7,H7,J7,L7,N7)=7,(SUM(F7,H7,J7,L7,N7)-MIN(F7,H7,J7,L7,N7)), SUM(F7,H7,J7,L7,N7))</f>
        <v/>
      </c>
    </row>
    <row r="8">
      <c r="A8" s="35" t="n">
        <v>4</v>
      </c>
      <c r="B8" s="24" t="inlineStr">
        <is>
          <t>Mirjam Hertenstein</t>
        </is>
      </c>
      <c r="C8" s="24" t="n">
        <v>2001</v>
      </c>
      <c r="D8" s="24" t="inlineStr">
        <is>
          <t>HSG Uni Greifswald</t>
        </is>
      </c>
      <c r="E8" s="25" t="n">
        <v>6.371</v>
      </c>
      <c r="F8" s="25" t="n">
        <v>50</v>
      </c>
      <c r="G8" s="26" t="n">
        <v>6.445</v>
      </c>
      <c r="H8" s="24" t="n">
        <v>50</v>
      </c>
      <c r="I8" s="26" t="n"/>
      <c r="J8" s="25" t="n"/>
      <c r="K8" s="26" t="n"/>
      <c r="L8" s="25" t="n"/>
      <c r="M8" s="26" t="n"/>
      <c r="N8" s="25" t="n"/>
      <c r="O8" s="27">
        <f>IF(COUNT(E8,G8,I8,K8,M8)=8,(SUM(E8,G8,I8,K8,M8)-MIN(E8,G8,I8,K8,M8)), SUM(E8,G8,I8,K8,M8))</f>
        <v/>
      </c>
      <c r="P8" s="36">
        <f>IF(COUNT(F8,H8,J8,L8,N8)=8,(SUM(F8,H8,J8,L8,N8)-MIN(F8,H8,J8,L8,N8)), SUM(F8,H8,J8,L8,N8))</f>
        <v/>
      </c>
    </row>
    <row r="9">
      <c r="A9" s="35" t="n">
        <v>5</v>
      </c>
      <c r="B9" s="24" t="inlineStr">
        <is>
          <t>Pauline Pfleiderer</t>
        </is>
      </c>
      <c r="C9" s="24" t="n">
        <v>2004</v>
      </c>
      <c r="D9" s="24" t="inlineStr">
        <is>
          <t>-</t>
        </is>
      </c>
      <c r="E9" s="25" t="n"/>
      <c r="F9" s="25" t="n"/>
      <c r="G9" s="26" t="n"/>
      <c r="H9" s="24" t="n"/>
      <c r="I9" s="26" t="n">
        <v>6.068</v>
      </c>
      <c r="J9" s="25" t="n">
        <v>45</v>
      </c>
      <c r="K9" s="26" t="n"/>
      <c r="L9" s="25" t="n"/>
      <c r="M9" s="26" t="n">
        <v>6.3</v>
      </c>
      <c r="N9" s="25" t="n">
        <v>45</v>
      </c>
      <c r="O9" s="27">
        <f>IF(COUNT(E9,G9,I9,K9,M9)=9,(SUM(E9,G9,I9,K9,M9)-MIN(E9,G9,I9,K9,M9)), SUM(E9,G9,I9,K9,M9))</f>
        <v/>
      </c>
      <c r="P9" s="36">
        <f>IF(COUNT(F9,H9,J9,L9,N9)=9,(SUM(F9,H9,J9,L9,N9)-MIN(F9,H9,J9,L9,N9)), SUM(F9,H9,J9,L9,N9))</f>
        <v/>
      </c>
    </row>
    <row r="10">
      <c r="A10" s="35" t="n">
        <v>6</v>
      </c>
      <c r="B10" s="24" t="inlineStr">
        <is>
          <t>Monique Maecklenburg</t>
        </is>
      </c>
      <c r="C10" s="24" t="n">
        <v>1979</v>
      </c>
      <c r="D10" s="24" t="n"/>
      <c r="E10" s="25" t="n">
        <v>5.67</v>
      </c>
      <c r="F10" s="25" t="n">
        <v>40</v>
      </c>
      <c r="G10" s="26" t="n"/>
      <c r="H10" s="24" t="n"/>
      <c r="I10" s="26" t="n">
        <v>5.685</v>
      </c>
      <c r="J10" s="25" t="n">
        <v>39</v>
      </c>
      <c r="K10" s="26" t="n"/>
      <c r="L10" s="25" t="n"/>
      <c r="M10" s="26" t="n"/>
      <c r="N10" s="25" t="n"/>
      <c r="O10" s="27">
        <f>IF(COUNT(E10,G10,I10,K10,M10)=10,(SUM(E10,G10,I10,K10,M10)-MIN(E10,G10,I10,K10,M10)), SUM(E10,G10,I10,K10,M10))</f>
        <v/>
      </c>
      <c r="P10" s="36">
        <f>IF(COUNT(F10,H10,J10,L10,N10)=10,(SUM(F10,H10,J10,L10,N10)-MIN(F10,H10,J10,L10,N10)), SUM(F10,H10,J10,L10,N10))</f>
        <v/>
      </c>
    </row>
    <row r="11">
      <c r="A11" s="35" t="n">
        <v>7</v>
      </c>
      <c r="B11" s="24" t="inlineStr">
        <is>
          <t>Britta Jürgen</t>
        </is>
      </c>
      <c r="C11" s="24" t="n">
        <v>1970</v>
      </c>
      <c r="D11" s="24" t="inlineStr">
        <is>
          <t>-</t>
        </is>
      </c>
      <c r="E11" s="25" t="n"/>
      <c r="F11" s="25" t="n"/>
      <c r="G11" s="26" t="n"/>
      <c r="H11" s="24" t="n"/>
      <c r="I11" s="26" t="n"/>
      <c r="J11" s="25" t="n"/>
      <c r="K11" s="26" t="n">
        <v>5.34</v>
      </c>
      <c r="L11" s="25" t="n">
        <v>40</v>
      </c>
      <c r="M11" s="26" t="n">
        <v>5.457</v>
      </c>
      <c r="N11" s="25" t="n">
        <v>39</v>
      </c>
      <c r="O11" s="27">
        <f>IF(COUNT(E11,G11,I11,K11,M11)=11,(SUM(E11,G11,I11,K11,M11)-MIN(E11,G11,I11,K11,M11)), SUM(E11,G11,I11,K11,M11))</f>
        <v/>
      </c>
      <c r="P11" s="36">
        <f>IF(COUNT(F11,H11,J11,L11,N11)=11,(SUM(F11,H11,J11,L11,N11)-MIN(F11,H11,J11,L11,N11)), SUM(F11,H11,J11,L11,N11))</f>
        <v/>
      </c>
    </row>
    <row r="12">
      <c r="A12" s="35" t="n">
        <v>8</v>
      </c>
      <c r="B12" s="24" t="inlineStr">
        <is>
          <t>Clara Pitschel</t>
        </is>
      </c>
      <c r="C12" s="24" t="n">
        <v>2003</v>
      </c>
      <c r="D12" s="24" t="inlineStr">
        <is>
          <t>`-</t>
        </is>
      </c>
      <c r="E12" s="25" t="n"/>
      <c r="F12" s="25" t="n"/>
      <c r="G12" s="26" t="n">
        <v>4.485</v>
      </c>
      <c r="H12" s="24" t="n">
        <v>37</v>
      </c>
      <c r="I12" s="26" t="n">
        <v>4.429</v>
      </c>
      <c r="J12" s="25" t="n">
        <v>37</v>
      </c>
      <c r="K12" s="26" t="n"/>
      <c r="L12" s="25" t="n"/>
      <c r="M12" s="26" t="n"/>
      <c r="N12" s="25" t="n"/>
      <c r="O12" s="27">
        <f>IF(COUNT(E12,G12,I12,K12,M12)=12,(SUM(E12,G12,I12,K12,M12)-MIN(E12,G12,I12,K12,M12)), SUM(E12,G12,I12,K12,M12))</f>
        <v/>
      </c>
      <c r="P12" s="36">
        <f>IF(COUNT(F12,H12,J12,L12,N12)=12,(SUM(F12,H12,J12,L12,N12)-MIN(F12,H12,J12,L12,N12)), SUM(F12,H12,J12,L12,N12))</f>
        <v/>
      </c>
    </row>
    <row r="13">
      <c r="A13" s="35" t="n">
        <v>9</v>
      </c>
      <c r="B13" s="24" t="inlineStr">
        <is>
          <t>Hanna Egbers</t>
        </is>
      </c>
      <c r="C13" s="24" t="n">
        <v>2003</v>
      </c>
      <c r="D13" s="24" t="inlineStr">
        <is>
          <t>-</t>
        </is>
      </c>
      <c r="E13" s="25" t="n"/>
      <c r="F13" s="25" t="n"/>
      <c r="G13" s="26" t="n">
        <v>4.485</v>
      </c>
      <c r="H13" s="24" t="n">
        <v>38</v>
      </c>
      <c r="I13" s="26" t="n">
        <v>4.429</v>
      </c>
      <c r="J13" s="25" t="n">
        <v>36</v>
      </c>
      <c r="K13" s="26" t="n"/>
      <c r="L13" s="25" t="n"/>
      <c r="M13" s="26" t="n"/>
      <c r="N13" s="25" t="n"/>
      <c r="O13" s="27">
        <f>IF(COUNT(E13,G13,I13,K13,M13)=13,(SUM(E13,G13,I13,K13,M13)-MIN(E13,G13,I13,K13,M13)), SUM(E13,G13,I13,K13,M13))</f>
        <v/>
      </c>
      <c r="P13" s="36">
        <f>IF(COUNT(F13,H13,J13,L13,N13)=13,(SUM(F13,H13,J13,L13,N13)-MIN(F13,H13,J13,L13,N13)), SUM(F13,H13,J13,L13,N13))</f>
        <v/>
      </c>
    </row>
    <row r="14">
      <c r="A14" s="35" t="n">
        <v>10</v>
      </c>
      <c r="B14" s="24" t="inlineStr">
        <is>
          <t>Paula Dittmann</t>
        </is>
      </c>
      <c r="C14" s="24" t="n">
        <v>2006</v>
      </c>
      <c r="D14" s="24" t="inlineStr">
        <is>
          <t>Monte</t>
        </is>
      </c>
      <c r="E14" s="25" t="n"/>
      <c r="F14" s="25" t="n"/>
      <c r="G14" s="26" t="n"/>
      <c r="H14" s="24" t="n"/>
      <c r="I14" s="26" t="n">
        <v>3.966</v>
      </c>
      <c r="J14" s="25" t="n">
        <v>34</v>
      </c>
      <c r="K14" s="26" t="n">
        <v>4.064</v>
      </c>
      <c r="L14" s="25" t="n">
        <v>35</v>
      </c>
      <c r="M14" s="26" t="n"/>
      <c r="N14" s="25" t="n"/>
      <c r="O14" s="27">
        <f>IF(COUNT(E14,G14,I14,K14,M14)=14,(SUM(E14,G14,I14,K14,M14)-MIN(E14,G14,I14,K14,M14)), SUM(E14,G14,I14,K14,M14))</f>
        <v/>
      </c>
      <c r="P14" s="36">
        <f>IF(COUNT(F14,H14,J14,L14,N14)=14,(SUM(F14,H14,J14,L14,N14)-MIN(F14,H14,J14,L14,N14)), SUM(F14,H14,J14,L14,N14))</f>
        <v/>
      </c>
    </row>
    <row r="15">
      <c r="A15" s="35" t="n">
        <v>11</v>
      </c>
      <c r="B15" s="24" t="inlineStr">
        <is>
          <t>Kira Richert</t>
        </is>
      </c>
      <c r="C15" s="24" t="n">
        <v>2005</v>
      </c>
      <c r="D15" s="24" t="inlineStr">
        <is>
          <t>Monte</t>
        </is>
      </c>
      <c r="E15" s="25" t="n"/>
      <c r="F15" s="25" t="n"/>
      <c r="G15" s="26" t="n"/>
      <c r="H15" s="24" t="n"/>
      <c r="I15" s="26" t="n"/>
      <c r="J15" s="25" t="n"/>
      <c r="K15" s="26" t="n">
        <v>3.635</v>
      </c>
      <c r="L15" s="25" t="n">
        <v>34</v>
      </c>
      <c r="M15" s="26" t="n">
        <v>3.673</v>
      </c>
      <c r="N15" s="25" t="n">
        <v>33</v>
      </c>
      <c r="O15" s="27">
        <f>IF(COUNT(E15,G15,I15,K15,M15)=15,(SUM(E15,G15,I15,K15,M15)-MIN(E15,G15,I15,K15,M15)), SUM(E15,G15,I15,K15,M15))</f>
        <v/>
      </c>
      <c r="P15" s="36">
        <f>IF(COUNT(F15,H15,J15,L15,N15)=15,(SUM(F15,H15,J15,L15,N15)-MIN(F15,H15,J15,L15,N15)), SUM(F15,H15,J15,L15,N15))</f>
        <v/>
      </c>
    </row>
    <row r="16">
      <c r="A16" s="35" t="n">
        <v>12</v>
      </c>
      <c r="B16" s="24" t="inlineStr">
        <is>
          <t>Inka Demmin</t>
        </is>
      </c>
      <c r="C16" s="24" t="n">
        <v>1973</v>
      </c>
      <c r="D16" s="24" t="inlineStr">
        <is>
          <t>Altentreptow</t>
        </is>
      </c>
      <c r="E16" s="25" t="n"/>
      <c r="F16" s="25" t="n"/>
      <c r="G16" s="26" t="n"/>
      <c r="H16" s="24" t="n"/>
      <c r="I16" s="26" t="n"/>
      <c r="J16" s="25" t="n"/>
      <c r="K16" s="26" t="n">
        <v>5.74</v>
      </c>
      <c r="L16" s="25" t="n">
        <v>45</v>
      </c>
      <c r="M16" s="26" t="n"/>
      <c r="N16" s="25" t="n"/>
      <c r="O16" s="27">
        <f>IF(COUNT(E16,G16,I16,K16,M16)=16,(SUM(E16,G16,I16,K16,M16)-MIN(E16,G16,I16,K16,M16)), SUM(E16,G16,I16,K16,M16))</f>
        <v/>
      </c>
      <c r="P16" s="36">
        <f>IF(COUNT(F16,H16,J16,L16,N16)=16,(SUM(F16,H16,J16,L16,N16)-MIN(F16,H16,J16,L16,N16)), SUM(F16,H16,J16,L16,N16))</f>
        <v/>
      </c>
    </row>
    <row r="17">
      <c r="A17" s="35" t="n">
        <v>13</v>
      </c>
      <c r="B17" s="24" t="inlineStr">
        <is>
          <t>Caroline Werner</t>
        </is>
      </c>
      <c r="C17" s="24" t="n">
        <v>1997</v>
      </c>
      <c r="D17" s="24" t="inlineStr">
        <is>
          <t>HSG</t>
        </is>
      </c>
      <c r="E17" s="25" t="n"/>
      <c r="F17" s="25" t="n"/>
      <c r="G17" s="26" t="n"/>
      <c r="H17" s="24" t="n"/>
      <c r="I17" s="26" t="n">
        <v>6.002</v>
      </c>
      <c r="J17" s="25" t="n">
        <v>40</v>
      </c>
      <c r="K17" s="26" t="n"/>
      <c r="L17" s="25" t="n"/>
      <c r="M17" s="26" t="n"/>
      <c r="N17" s="25" t="n"/>
      <c r="O17" s="27">
        <f>IF(COUNT(E17,G17,I17,K17,M17)=17,(SUM(E17,G17,I17,K17,M17)-MIN(E17,G17,I17,K17,M17)), SUM(E17,G17,I17,K17,M17))</f>
        <v/>
      </c>
      <c r="P17" s="36">
        <f>IF(COUNT(F17,H17,J17,L17,N17)=17,(SUM(F17,H17,J17,L17,N17)-MIN(F17,H17,J17,L17,N17)), SUM(F17,H17,J17,L17,N17))</f>
        <v/>
      </c>
    </row>
    <row r="18">
      <c r="A18" s="35" t="n">
        <v>14</v>
      </c>
      <c r="B18" s="24" t="inlineStr">
        <is>
          <t>Thyra Beranek</t>
        </is>
      </c>
      <c r="C18" s="24" t="n">
        <v>2013</v>
      </c>
      <c r="D18" s="24" t="inlineStr">
        <is>
          <t>HC Vormpommern</t>
        </is>
      </c>
      <c r="E18" s="25" t="n"/>
      <c r="F18" s="25" t="n"/>
      <c r="G18" s="26" t="n">
        <v>5.008</v>
      </c>
      <c r="H18" s="24" t="n">
        <v>40</v>
      </c>
      <c r="I18" s="26" t="n"/>
      <c r="J18" s="25" t="n"/>
      <c r="K18" s="26" t="n"/>
      <c r="L18" s="25" t="n"/>
      <c r="M18" s="26" t="n"/>
      <c r="N18" s="25" t="n"/>
      <c r="O18" s="27">
        <f>IF(COUNT(E18,G18,I18,K18,M18)=18,(SUM(E18,G18,I18,K18,M18)-MIN(E18,G18,I18,K18,M18)), SUM(E18,G18,I18,K18,M18))</f>
        <v/>
      </c>
      <c r="P18" s="36">
        <f>IF(COUNT(F18,H18,J18,L18,N18)=18,(SUM(F18,H18,J18,L18,N18)-MIN(F18,H18,J18,L18,N18)), SUM(F18,H18,J18,L18,N18))</f>
        <v/>
      </c>
    </row>
    <row r="19">
      <c r="A19" s="35" t="n">
        <v>15</v>
      </c>
      <c r="B19" s="24" t="inlineStr">
        <is>
          <t>Lena Kehnappel</t>
        </is>
      </c>
      <c r="C19" s="24" t="n">
        <v>2004</v>
      </c>
      <c r="D19" s="24" t="n"/>
      <c r="E19" s="25" t="n">
        <v>5.348</v>
      </c>
      <c r="F19" s="25" t="n">
        <v>39</v>
      </c>
      <c r="G19" s="26" t="n"/>
      <c r="H19" s="24" t="n"/>
      <c r="I19" s="26" t="n"/>
      <c r="J19" s="25" t="n"/>
      <c r="K19" s="26" t="n"/>
      <c r="L19" s="25" t="n"/>
      <c r="M19" s="26" t="n"/>
      <c r="N19" s="25" t="n"/>
      <c r="O19" s="27">
        <f>IF(COUNT(E19,G19,I19,K19,M19)=19,(SUM(E19,G19,I19,K19,M19)-MIN(E19,G19,I19,K19,M19)), SUM(E19,G19,I19,K19,M19))</f>
        <v/>
      </c>
      <c r="P19" s="36">
        <f>IF(COUNT(F19,H19,J19,L19,N19)=19,(SUM(F19,H19,J19,L19,N19)-MIN(F19,H19,J19,L19,N19)), SUM(F19,H19,J19,L19,N19))</f>
        <v/>
      </c>
    </row>
    <row r="20">
      <c r="A20" s="35" t="n">
        <v>16</v>
      </c>
      <c r="B20" s="24" t="inlineStr">
        <is>
          <t>Ute Kolberg</t>
        </is>
      </c>
      <c r="C20" s="24" t="n">
        <v>1959</v>
      </c>
      <c r="D20" s="24" t="inlineStr">
        <is>
          <t>HSG Uni Greifswald</t>
        </is>
      </c>
      <c r="E20" s="25" t="n"/>
      <c r="F20" s="25" t="n"/>
      <c r="G20" s="26" t="n"/>
      <c r="H20" s="24" t="n"/>
      <c r="I20" s="26" t="n"/>
      <c r="J20" s="25" t="n"/>
      <c r="K20" s="26" t="n">
        <v>5.133</v>
      </c>
      <c r="L20" s="25" t="n">
        <v>39</v>
      </c>
      <c r="M20" s="26" t="n"/>
      <c r="N20" s="25" t="n"/>
      <c r="O20" s="27">
        <f>IF(COUNT(E20,G20,I20,K20,M20)=20,(SUM(E20,G20,I20,K20,M20)-MIN(E20,G20,I20,K20,M20)), SUM(E20,G20,I20,K20,M20))</f>
        <v/>
      </c>
      <c r="P20" s="36">
        <f>IF(COUNT(F20,H20,J20,L20,N20)=20,(SUM(F20,H20,J20,L20,N20)-MIN(F20,H20,J20,L20,N20)), SUM(F20,H20,J20,L20,N20))</f>
        <v/>
      </c>
    </row>
    <row r="21">
      <c r="A21" s="35" t="n">
        <v>17</v>
      </c>
      <c r="B21" s="24" t="inlineStr">
        <is>
          <t>Bianca Bohmeier</t>
        </is>
      </c>
      <c r="C21" s="24" t="n">
        <v>1997</v>
      </c>
      <c r="D21" s="24" t="inlineStr">
        <is>
          <t>-</t>
        </is>
      </c>
      <c r="E21" s="25" t="n"/>
      <c r="F21" s="25" t="n"/>
      <c r="G21" s="26" t="n"/>
      <c r="H21" s="24" t="n"/>
      <c r="I21" s="26" t="n"/>
      <c r="J21" s="25" t="n"/>
      <c r="K21" s="26" t="n"/>
      <c r="L21" s="25" t="n"/>
      <c r="M21" s="26" t="n">
        <v>5.311</v>
      </c>
      <c r="N21" s="25" t="n">
        <v>38</v>
      </c>
      <c r="O21" s="27">
        <f>IF(COUNT(E21,G21,I21,K21,M21)=21,(SUM(E21,G21,I21,K21,M21)-MIN(E21,G21,I21,K21,M21)), SUM(E21,G21,I21,K21,M21))</f>
        <v/>
      </c>
      <c r="P21" s="36">
        <f>IF(COUNT(F21,H21,J21,L21,N21)=21,(SUM(F21,H21,J21,L21,N21)-MIN(F21,H21,J21,L21,N21)), SUM(F21,H21,J21,L21,N21))</f>
        <v/>
      </c>
    </row>
    <row r="22">
      <c r="A22" s="35" t="n">
        <v>18</v>
      </c>
      <c r="B22" s="24" t="inlineStr">
        <is>
          <t>Lisa Victoria Wetzel</t>
        </is>
      </c>
      <c r="C22" s="24" t="n">
        <v>2003</v>
      </c>
      <c r="D22" s="24" t="inlineStr">
        <is>
          <t>HHU Düsseldorf</t>
        </is>
      </c>
      <c r="E22" s="25" t="n">
        <v>5.219</v>
      </c>
      <c r="F22" s="25" t="n">
        <v>38</v>
      </c>
      <c r="G22" s="26" t="n"/>
      <c r="H22" s="24" t="n"/>
      <c r="I22" s="26" t="n"/>
      <c r="J22" s="25" t="n"/>
      <c r="K22" s="26" t="n"/>
      <c r="L22" s="25" t="n"/>
      <c r="M22" s="26" t="n"/>
      <c r="N22" s="25" t="n"/>
      <c r="O22" s="27">
        <f>IF(COUNT(E22,G22,I22,K22,M22)=22,(SUM(E22,G22,I22,K22,M22)-MIN(E22,G22,I22,K22,M22)), SUM(E22,G22,I22,K22,M22))</f>
        <v/>
      </c>
      <c r="P22" s="36">
        <f>IF(COUNT(F22,H22,J22,L22,N22)=22,(SUM(F22,H22,J22,L22,N22)-MIN(F22,H22,J22,L22,N22)), SUM(F22,H22,J22,L22,N22))</f>
        <v/>
      </c>
    </row>
    <row r="23">
      <c r="A23" s="35" t="n">
        <v>19</v>
      </c>
      <c r="B23" s="24" t="inlineStr">
        <is>
          <t>Martina Jülich</t>
        </is>
      </c>
      <c r="C23" s="24" t="n">
        <v>1975</v>
      </c>
      <c r="D23" s="24" t="inlineStr">
        <is>
          <t>Laufclub Greifswald</t>
        </is>
      </c>
      <c r="E23" s="25" t="n"/>
      <c r="F23" s="25" t="n"/>
      <c r="G23" s="26" t="n"/>
      <c r="H23" s="24" t="n"/>
      <c r="I23" s="26" t="n"/>
      <c r="J23" s="25" t="n"/>
      <c r="K23" s="26" t="n">
        <v>4.893</v>
      </c>
      <c r="L23" s="25" t="n">
        <v>38</v>
      </c>
      <c r="M23" s="26" t="n"/>
      <c r="N23" s="25" t="n"/>
      <c r="O23" s="27">
        <f>IF(COUNT(E23,G23,I23,K23,M23)=23,(SUM(E23,G23,I23,K23,M23)-MIN(E23,G23,I23,K23,M23)), SUM(E23,G23,I23,K23,M23))</f>
        <v/>
      </c>
      <c r="P23" s="36">
        <f>IF(COUNT(F23,H23,J23,L23,N23)=23,(SUM(F23,H23,J23,L23,N23)-MIN(F23,H23,J23,L23,N23)), SUM(F23,H23,J23,L23,N23))</f>
        <v/>
      </c>
    </row>
    <row r="24">
      <c r="A24" s="35" t="n">
        <v>20</v>
      </c>
      <c r="B24" s="24" t="inlineStr">
        <is>
          <t>Sara Reinhardt</t>
        </is>
      </c>
      <c r="C24" s="24" t="n">
        <v>1998</v>
      </c>
      <c r="D24" s="24" t="n"/>
      <c r="E24" s="25" t="n"/>
      <c r="F24" s="25" t="n"/>
      <c r="G24" s="26" t="n"/>
      <c r="H24" s="24" t="n"/>
      <c r="I24" s="26" t="n"/>
      <c r="J24" s="25" t="n"/>
      <c r="K24" s="26" t="n"/>
      <c r="L24" s="25" t="n"/>
      <c r="M24" s="26" t="n">
        <v>5.311</v>
      </c>
      <c r="N24" s="25" t="n">
        <v>37</v>
      </c>
      <c r="O24" s="27">
        <f>IF(COUNT(E24,G24,I24,K24,M24)=24,(SUM(E24,G24,I24,K24,M24)-MIN(E24,G24,I24,K24,M24)), SUM(E24,G24,I24,K24,M24))</f>
        <v/>
      </c>
      <c r="P24" s="36">
        <f>IF(COUNT(F24,H24,J24,L24,N24)=24,(SUM(F24,H24,J24,L24,N24)-MIN(F24,H24,J24,L24,N24)), SUM(F24,H24,J24,L24,N24))</f>
        <v/>
      </c>
    </row>
    <row r="25">
      <c r="A25" s="35" t="n">
        <v>21</v>
      </c>
      <c r="B25" s="24" t="inlineStr">
        <is>
          <t>Emilya Teich</t>
        </is>
      </c>
      <c r="C25" s="24" t="n">
        <v>2006</v>
      </c>
      <c r="D25" s="24" t="inlineStr">
        <is>
          <t>Montessori</t>
        </is>
      </c>
      <c r="E25" s="25" t="n"/>
      <c r="F25" s="25" t="n"/>
      <c r="G25" s="26" t="n"/>
      <c r="H25" s="24" t="n"/>
      <c r="I25" s="26" t="n"/>
      <c r="J25" s="25" t="n"/>
      <c r="K25" s="26" t="n"/>
      <c r="L25" s="25" t="n"/>
      <c r="M25" s="26" t="n">
        <v>4.966</v>
      </c>
      <c r="N25" s="25" t="n">
        <v>36</v>
      </c>
      <c r="O25" s="27">
        <f>IF(COUNT(E25,G25,I25,K25,M25)=25,(SUM(E25,G25,I25,K25,M25)-MIN(E25,G25,I25,K25,M25)), SUM(E25,G25,I25,K25,M25))</f>
        <v/>
      </c>
      <c r="P25" s="36">
        <f>IF(COUNT(F25,H25,J25,L25,N25)=25,(SUM(F25,H25,J25,L25,N25)-MIN(F25,H25,J25,L25,N25)), SUM(F25,H25,J25,L25,N25))</f>
        <v/>
      </c>
    </row>
    <row r="26">
      <c r="A26" s="35" t="n">
        <v>22</v>
      </c>
      <c r="B26" s="24" t="inlineStr">
        <is>
          <t>Mariia Borisova</t>
        </is>
      </c>
      <c r="C26" s="24" t="n">
        <v>1994</v>
      </c>
      <c r="D26" s="24" t="inlineStr">
        <is>
          <t>Flamonte</t>
        </is>
      </c>
      <c r="E26" s="25" t="n">
        <v>4.762</v>
      </c>
      <c r="F26" s="25" t="n">
        <v>36</v>
      </c>
      <c r="G26" s="26" t="n"/>
      <c r="H26" s="24" t="n"/>
      <c r="I26" s="26" t="n"/>
      <c r="J26" s="25" t="n"/>
      <c r="K26" s="26" t="n"/>
      <c r="L26" s="25" t="n"/>
      <c r="M26" s="26" t="n"/>
      <c r="N26" s="25" t="n"/>
      <c r="O26" s="27">
        <f>IF(COUNT(E26,G26,I26,K26,M26)=26,(SUM(E26,G26,I26,K26,M26)-MIN(E26,G26,I26,K26,M26)), SUM(E26,G26,I26,K26,M26))</f>
        <v/>
      </c>
      <c r="P26" s="36">
        <f>IF(COUNT(F26,H26,J26,L26,N26)=26,(SUM(F26,H26,J26,L26,N26)-MIN(F26,H26,J26,L26,N26)), SUM(F26,H26,J26,L26,N26))</f>
        <v/>
      </c>
    </row>
    <row r="27">
      <c r="A27" s="35" t="n">
        <v>23</v>
      </c>
      <c r="B27" s="24" t="inlineStr">
        <is>
          <t>Bianca Bohmeier</t>
        </is>
      </c>
      <c r="C27" s="24" t="n">
        <v>1997</v>
      </c>
      <c r="D27" s="24" t="inlineStr">
        <is>
          <t>-</t>
        </is>
      </c>
      <c r="E27" s="25" t="n"/>
      <c r="F27" s="25" t="n"/>
      <c r="G27" s="26" t="n"/>
      <c r="H27" s="24" t="n"/>
      <c r="I27" s="26" t="n"/>
      <c r="J27" s="25" t="n"/>
      <c r="K27" s="26" t="n">
        <v>4.377</v>
      </c>
      <c r="L27" s="25" t="n">
        <v>36</v>
      </c>
      <c r="M27" s="26" t="n"/>
      <c r="N27" s="25" t="n"/>
      <c r="O27" s="27">
        <f>IF(COUNT(E27,G27,I27,K27,M27)=27,(SUM(E27,G27,I27,K27,M27)-MIN(E27,G27,I27,K27,M27)), SUM(E27,G27,I27,K27,M27))</f>
        <v/>
      </c>
      <c r="P27" s="36">
        <f>IF(COUNT(F27,H27,J27,L27,N27)=27,(SUM(F27,H27,J27,L27,N27)-MIN(F27,H27,J27,L27,N27)), SUM(F27,H27,J27,L27,N27))</f>
        <v/>
      </c>
    </row>
    <row r="28">
      <c r="A28" s="35" t="n">
        <v>24</v>
      </c>
      <c r="B28" s="24" t="inlineStr">
        <is>
          <t>Annekathrin Sommer</t>
        </is>
      </c>
      <c r="C28" s="24" t="n">
        <v>1983</v>
      </c>
      <c r="D28" s="24" t="inlineStr">
        <is>
          <t>Hanse-Kinder Sportverein</t>
        </is>
      </c>
      <c r="E28" s="25" t="n"/>
      <c r="F28" s="25" t="n"/>
      <c r="G28" s="26" t="n">
        <v>4.04</v>
      </c>
      <c r="H28" s="24" t="n">
        <v>36</v>
      </c>
      <c r="I28" s="26" t="n"/>
      <c r="J28" s="25" t="n"/>
      <c r="K28" s="26" t="n"/>
      <c r="L28" s="25" t="n"/>
      <c r="M28" s="26" t="n"/>
      <c r="N28" s="25" t="n"/>
      <c r="O28" s="27">
        <f>IF(COUNT(E28,G28,I28,K28,M28)=28,(SUM(E28,G28,I28,K28,M28)-MIN(E28,G28,I28,K28,M28)), SUM(E28,G28,I28,K28,M28))</f>
        <v/>
      </c>
      <c r="P28" s="36">
        <f>IF(COUNT(F28,H28,J28,L28,N28)=28,(SUM(F28,H28,J28,L28,N28)-MIN(F28,H28,J28,L28,N28)), SUM(F28,H28,J28,L28,N28))</f>
        <v/>
      </c>
    </row>
    <row r="29">
      <c r="A29" s="35" t="n">
        <v>25</v>
      </c>
      <c r="B29" s="24" t="inlineStr">
        <is>
          <t>Hanna Rogge</t>
        </is>
      </c>
      <c r="C29" s="24" t="n">
        <v>2000</v>
      </c>
      <c r="D29" s="24" t="inlineStr">
        <is>
          <t>-</t>
        </is>
      </c>
      <c r="E29" s="25" t="n"/>
      <c r="F29" s="25" t="n"/>
      <c r="G29" s="26" t="n"/>
      <c r="H29" s="24" t="n"/>
      <c r="I29" s="26" t="n"/>
      <c r="J29" s="25" t="n"/>
      <c r="K29" s="26" t="n"/>
      <c r="L29" s="25" t="n"/>
      <c r="M29" s="26" t="n">
        <v>4.743</v>
      </c>
      <c r="N29" s="25" t="n">
        <v>35</v>
      </c>
      <c r="O29" s="27">
        <f>IF(COUNT(E29,G29,I29,K29,M29)=29,(SUM(E29,G29,I29,K29,M29)-MIN(E29,G29,I29,K29,M29)), SUM(E29,G29,I29,K29,M29))</f>
        <v/>
      </c>
      <c r="P29" s="36">
        <f>IF(COUNT(F29,H29,J29,L29,N29)=29,(SUM(F29,H29,J29,L29,N29)-MIN(F29,H29,J29,L29,N29)), SUM(F29,H29,J29,L29,N29))</f>
        <v/>
      </c>
    </row>
    <row r="30">
      <c r="A30" s="35" t="n">
        <v>26</v>
      </c>
      <c r="B30" s="24" t="inlineStr">
        <is>
          <t>Miriam Winkler</t>
        </is>
      </c>
      <c r="C30" s="24" t="n">
        <v>2009</v>
      </c>
      <c r="D30" s="24" t="inlineStr">
        <is>
          <t>VCG</t>
        </is>
      </c>
      <c r="E30" s="25" t="n">
        <v>4.572</v>
      </c>
      <c r="F30" s="25" t="n">
        <v>35</v>
      </c>
      <c r="G30" s="26" t="n"/>
      <c r="H30" s="24" t="n"/>
      <c r="I30" s="26" t="n"/>
      <c r="J30" s="25" t="n"/>
      <c r="K30" s="26" t="n"/>
      <c r="L30" s="25" t="n"/>
      <c r="M30" s="26" t="n"/>
      <c r="N30" s="25" t="n"/>
      <c r="O30" s="27">
        <f>IF(COUNT(E30,G30,I30,K30,M30)=30,(SUM(E30,G30,I30,K30,M30)-MIN(E30,G30,I30,K30,M30)), SUM(E30,G30,I30,K30,M30))</f>
        <v/>
      </c>
      <c r="P30" s="36">
        <f>IF(COUNT(F30,H30,J30,L30,N30)=30,(SUM(F30,H30,J30,L30,N30)-MIN(F30,H30,J30,L30,N30)), SUM(F30,H30,J30,L30,N30))</f>
        <v/>
      </c>
    </row>
    <row r="31">
      <c r="A31" s="35" t="n">
        <v>27</v>
      </c>
      <c r="B31" s="24" t="inlineStr">
        <is>
          <t>Mia Kreyling</t>
        </is>
      </c>
      <c r="C31" s="24" t="n">
        <v>2009</v>
      </c>
      <c r="D31" s="24" t="inlineStr">
        <is>
          <t>Flamonte</t>
        </is>
      </c>
      <c r="E31" s="25" t="n"/>
      <c r="F31" s="25" t="n"/>
      <c r="G31" s="26" t="n"/>
      <c r="H31" s="24" t="n"/>
      <c r="I31" s="26" t="n">
        <v>4.01</v>
      </c>
      <c r="J31" s="25" t="n">
        <v>35</v>
      </c>
      <c r="K31" s="26" t="n"/>
      <c r="L31" s="25" t="n"/>
      <c r="M31" s="26" t="n"/>
      <c r="N31" s="25" t="n"/>
      <c r="O31" s="27">
        <f>IF(COUNT(E31,G31,I31,K31,M31)=31,(SUM(E31,G31,I31,K31,M31)-MIN(E31,G31,I31,K31,M31)), SUM(E31,G31,I31,K31,M31))</f>
        <v/>
      </c>
      <c r="P31" s="36">
        <f>IF(COUNT(F31,H31,J31,L31,N31)=31,(SUM(F31,H31,J31,L31,N31)-MIN(F31,H31,J31,L31,N31)), SUM(F31,H31,J31,L31,N31))</f>
        <v/>
      </c>
    </row>
    <row r="32">
      <c r="A32" s="35" t="n">
        <v>28</v>
      </c>
      <c r="B32" s="24" t="inlineStr">
        <is>
          <t>Simone Eichhorst</t>
        </is>
      </c>
      <c r="C32" s="24" t="n">
        <v>1967</v>
      </c>
      <c r="D32" s="24" t="inlineStr">
        <is>
          <t>HSG Uni Greifswald</t>
        </is>
      </c>
      <c r="E32" s="25" t="n">
        <v>4.345</v>
      </c>
      <c r="F32" s="25" t="n">
        <v>34</v>
      </c>
      <c r="G32" s="26" t="n"/>
      <c r="H32" s="24" t="n"/>
      <c r="I32" s="26" t="n"/>
      <c r="J32" s="25" t="n"/>
      <c r="K32" s="26" t="n"/>
      <c r="L32" s="25" t="n"/>
      <c r="M32" s="26" t="n"/>
      <c r="N32" s="25" t="n"/>
      <c r="O32" s="27">
        <f>IF(COUNT(E32,G32,I32,K32,M32)=32,(SUM(E32,G32,I32,K32,M32)-MIN(E32,G32,I32,K32,M32)), SUM(E32,G32,I32,K32,M32))</f>
        <v/>
      </c>
      <c r="P32" s="36">
        <f>IF(COUNT(F32,H32,J32,L32,N32)=32,(SUM(F32,H32,J32,L32,N32)-MIN(F32,H32,J32,L32,N32)), SUM(F32,H32,J32,L32,N32))</f>
        <v/>
      </c>
    </row>
    <row r="33">
      <c r="A33" s="35" t="n">
        <v>29</v>
      </c>
      <c r="B33" s="24" t="inlineStr">
        <is>
          <t>Neela Schiller</t>
        </is>
      </c>
      <c r="C33" s="24" t="n">
        <v>2011</v>
      </c>
      <c r="D33" s="24" t="inlineStr">
        <is>
          <t>Ostseegymnasium</t>
        </is>
      </c>
      <c r="E33" s="25" t="n">
        <v>4.298</v>
      </c>
      <c r="F33" s="25" t="n">
        <v>33</v>
      </c>
      <c r="G33" s="26" t="n"/>
      <c r="H33" s="24" t="n"/>
      <c r="I33" s="26" t="n"/>
      <c r="J33" s="25" t="n"/>
      <c r="K33" s="26" t="n"/>
      <c r="L33" s="25" t="n"/>
      <c r="M33" s="26" t="n"/>
      <c r="N33" s="25" t="n"/>
      <c r="O33" s="27">
        <f>IF(COUNT(E33,G33,I33,K33,M33)=33,(SUM(E33,G33,I33,K33,M33)-MIN(E33,G33,I33,K33,M33)), SUM(E33,G33,I33,K33,M33))</f>
        <v/>
      </c>
      <c r="P33" s="36">
        <f>IF(COUNT(F33,H33,J33,L33,N33)=33,(SUM(F33,H33,J33,L33,N33)-MIN(F33,H33,J33,L33,N33)), SUM(F33,H33,J33,L33,N33))</f>
        <v/>
      </c>
    </row>
    <row r="34">
      <c r="A34" s="35" t="n">
        <v>30</v>
      </c>
      <c r="B34" s="24" t="inlineStr">
        <is>
          <t>Sanne Berns</t>
        </is>
      </c>
      <c r="C34" s="24" t="n">
        <v>2006</v>
      </c>
      <c r="D34" s="24" t="inlineStr">
        <is>
          <t>Monte</t>
        </is>
      </c>
      <c r="E34" s="25" t="n"/>
      <c r="F34" s="25" t="n"/>
      <c r="G34" s="26" t="n"/>
      <c r="H34" s="24" t="n"/>
      <c r="I34" s="26" t="n">
        <v>3.26</v>
      </c>
      <c r="J34" s="25" t="n">
        <v>33</v>
      </c>
      <c r="K34" s="26" t="n"/>
      <c r="L34" s="25" t="n"/>
      <c r="M34" s="26" t="n"/>
      <c r="N34" s="25" t="n"/>
      <c r="O34" s="27">
        <f>IF(COUNT(E34,G34,I34,K34,M34)=34,(SUM(E34,G34,I34,K34,M34)-MIN(E34,G34,I34,K34,M34)), SUM(E34,G34,I34,K34,M34))</f>
        <v/>
      </c>
      <c r="P34" s="36">
        <f>IF(COUNT(F34,H34,J34,L34,N34)=34,(SUM(F34,H34,J34,L34,N34)-MIN(F34,H34,J34,L34,N34)), SUM(F34,H34,J34,L34,N34))</f>
        <v/>
      </c>
    </row>
    <row r="35">
      <c r="A35" s="35" t="n">
        <v>31</v>
      </c>
      <c r="B35" s="24" t="inlineStr">
        <is>
          <t>Lisa Hennig</t>
        </is>
      </c>
      <c r="C35" s="24" t="n">
        <v>1988</v>
      </c>
      <c r="D35" s="24" t="inlineStr">
        <is>
          <t>Hanse-Kinder Sportverein</t>
        </is>
      </c>
      <c r="E35" s="25" t="n">
        <v>4.097</v>
      </c>
      <c r="F35" s="25" t="n">
        <v>32</v>
      </c>
      <c r="G35" s="26" t="n"/>
      <c r="H35" s="24" t="n"/>
      <c r="I35" s="26" t="n"/>
      <c r="J35" s="25" t="n"/>
      <c r="K35" s="26" t="n"/>
      <c r="L35" s="25" t="n"/>
      <c r="M35" s="26" t="n"/>
      <c r="N35" s="25" t="n"/>
      <c r="O35" s="27">
        <f>IF(COUNT(E35,G35,I35,K35,M35)=35,(SUM(E35,G35,I35,K35,M35)-MIN(E35,G35,I35,K35,M35)), SUM(E35,G35,I35,K35,M35))</f>
        <v/>
      </c>
      <c r="P35" s="36">
        <f>IF(COUNT(F35,H35,J35,L35,N35)=35,(SUM(F35,H35,J35,L35,N35)-MIN(F35,H35,J35,L35,N35)), SUM(F35,H35,J35,L35,N35))</f>
        <v/>
      </c>
    </row>
    <row r="36">
      <c r="A36" s="35" t="n">
        <v>32</v>
      </c>
      <c r="B36" s="24" t="inlineStr">
        <is>
          <t>Alexandra Reinhold</t>
        </is>
      </c>
      <c r="C36" s="24" t="n">
        <v>1993</v>
      </c>
      <c r="D36" s="24" t="inlineStr">
        <is>
          <t>Hanse-Kinder Sportverein</t>
        </is>
      </c>
      <c r="E36" s="25" t="n">
        <v>4.097</v>
      </c>
      <c r="F36" s="25" t="n">
        <v>31</v>
      </c>
      <c r="G36" s="26" t="n"/>
      <c r="H36" s="24" t="n"/>
      <c r="I36" s="26" t="n"/>
      <c r="J36" s="25" t="n"/>
      <c r="K36" s="26" t="n"/>
      <c r="L36" s="25" t="n"/>
      <c r="M36" s="26" t="n"/>
      <c r="N36" s="25" t="n"/>
      <c r="O36" s="27">
        <f>IF(COUNT(E36,G36,I36,K36,M36)=36,(SUM(E36,G36,I36,K36,M36)-MIN(E36,G36,I36,K36,M36)), SUM(E36,G36,I36,K36,M36))</f>
        <v/>
      </c>
      <c r="P36" s="36">
        <f>IF(COUNT(F36,H36,J36,L36,N36)=36,(SUM(F36,H36,J36,L36,N36)-MIN(F36,H36,J36,L36,N36)), SUM(F36,H36,J36,L36,N36))</f>
        <v/>
      </c>
    </row>
    <row r="38">
      <c r="A38" s="1" t="inlineStr">
        <is>
          <t>2. Halbstundenlauf - M</t>
        </is>
      </c>
      <c r="E38" s="2" t="n"/>
      <c r="F38" s="3" t="n"/>
      <c r="G38" s="3" t="n"/>
      <c r="H38" s="3" t="n"/>
      <c r="I38" s="3" t="n"/>
      <c r="J38" s="3" t="n"/>
      <c r="K38" s="2" t="n"/>
      <c r="L38" s="3" t="n"/>
      <c r="M38" s="3" t="n"/>
      <c r="N38" s="3" t="n"/>
    </row>
    <row r="39">
      <c r="A39" s="4" t="n"/>
      <c r="B39" s="3" t="n"/>
      <c r="C39" s="3" t="n"/>
      <c r="D39" s="3" t="n"/>
      <c r="E39" s="5" t="inlineStr">
        <is>
          <t>1. Lauf</t>
        </is>
      </c>
      <c r="F39" s="6" t="n"/>
      <c r="G39" s="7" t="inlineStr">
        <is>
          <t>2. Lauf</t>
        </is>
      </c>
      <c r="H39" s="6" t="n"/>
      <c r="I39" s="7" t="inlineStr">
        <is>
          <t>3. Lauf</t>
        </is>
      </c>
      <c r="J39" s="6" t="n"/>
      <c r="K39" s="5" t="inlineStr">
        <is>
          <t>4. Lauf</t>
        </is>
      </c>
      <c r="L39" s="6" t="n"/>
      <c r="M39" s="7" t="inlineStr">
        <is>
          <t>5. Lauf</t>
        </is>
      </c>
      <c r="N39" s="6" t="n"/>
      <c r="O39" s="7" t="inlineStr">
        <is>
          <t>Gesamt</t>
        </is>
      </c>
      <c r="P39" s="6" t="n"/>
    </row>
    <row r="40">
      <c r="A40" s="8" t="inlineStr">
        <is>
          <t>Platz</t>
        </is>
      </c>
      <c r="B40" s="8" t="inlineStr">
        <is>
          <t>Vorname/Name</t>
        </is>
      </c>
      <c r="C40" s="9" t="inlineStr">
        <is>
          <t>Jg.</t>
        </is>
      </c>
      <c r="D40" s="8" t="inlineStr">
        <is>
          <t>Verein</t>
        </is>
      </c>
      <c r="E40" s="10" t="inlineStr">
        <is>
          <t>Laufstr.</t>
        </is>
      </c>
      <c r="F40" s="8" t="inlineStr">
        <is>
          <t>Wertung</t>
        </is>
      </c>
      <c r="G40" s="8" t="inlineStr">
        <is>
          <t>Laufstr.</t>
        </is>
      </c>
      <c r="H40" s="8" t="inlineStr">
        <is>
          <t>Wertung</t>
        </is>
      </c>
      <c r="I40" s="8" t="inlineStr">
        <is>
          <t>Laufstr.</t>
        </is>
      </c>
      <c r="J40" s="8" t="inlineStr">
        <is>
          <t>Wertung</t>
        </is>
      </c>
      <c r="K40" s="10" t="inlineStr">
        <is>
          <t>Laufstr.</t>
        </is>
      </c>
      <c r="L40" s="8" t="inlineStr">
        <is>
          <t>Wertung</t>
        </is>
      </c>
      <c r="M40" s="8" t="inlineStr">
        <is>
          <t>Laufstr.</t>
        </is>
      </c>
      <c r="N40" s="8" t="inlineStr">
        <is>
          <t>Wertung</t>
        </is>
      </c>
      <c r="O40" s="10" t="inlineStr">
        <is>
          <t>Laufstr.</t>
        </is>
      </c>
      <c r="P40" s="8" t="inlineStr">
        <is>
          <t>Wertung</t>
        </is>
      </c>
    </row>
    <row r="41">
      <c r="A41" s="11" t="n"/>
      <c r="B41" s="12" t="n"/>
      <c r="C41" s="13" t="n"/>
      <c r="D41" s="12" t="n"/>
      <c r="E41" s="11" t="inlineStr">
        <is>
          <t>(km)</t>
        </is>
      </c>
      <c r="F41" s="11" t="inlineStr">
        <is>
          <t>(Punkte)</t>
        </is>
      </c>
      <c r="G41" s="11" t="inlineStr">
        <is>
          <t>(km)</t>
        </is>
      </c>
      <c r="H41" s="11" t="inlineStr">
        <is>
          <t>(Punkte)</t>
        </is>
      </c>
      <c r="I41" s="11" t="inlineStr">
        <is>
          <t>(km)</t>
        </is>
      </c>
      <c r="J41" s="11" t="inlineStr">
        <is>
          <t>(Punkte)</t>
        </is>
      </c>
      <c r="K41" s="14" t="inlineStr">
        <is>
          <t>(km)</t>
        </is>
      </c>
      <c r="L41" s="15" t="inlineStr">
        <is>
          <t>(Punkte)</t>
        </is>
      </c>
      <c r="M41" s="11" t="inlineStr">
        <is>
          <t>(km)</t>
        </is>
      </c>
      <c r="N41" s="11" t="inlineStr">
        <is>
          <t>(Punkte)</t>
        </is>
      </c>
      <c r="O41" s="16" t="inlineStr">
        <is>
          <t>(km)</t>
        </is>
      </c>
      <c r="P41" s="15" t="inlineStr">
        <is>
          <t>(Punkte)</t>
        </is>
      </c>
    </row>
    <row r="42">
      <c r="A42" s="17" t="n">
        <v>1</v>
      </c>
      <c r="B42" s="18" t="inlineStr">
        <is>
          <t>Jens Grubert</t>
        </is>
      </c>
      <c r="C42" s="18" t="n">
        <v>1991</v>
      </c>
      <c r="D42" s="18" t="n"/>
      <c r="E42" s="19" t="n">
        <v>6.948</v>
      </c>
      <c r="F42" s="19" t="n">
        <v>45</v>
      </c>
      <c r="G42" s="20" t="n">
        <v>7.091</v>
      </c>
      <c r="H42" s="18" t="n">
        <v>45</v>
      </c>
      <c r="I42" s="20" t="n">
        <v>7.031</v>
      </c>
      <c r="J42" s="19" t="n">
        <v>38</v>
      </c>
      <c r="K42" s="20" t="n">
        <v>6.991</v>
      </c>
      <c r="L42" s="19" t="n">
        <v>39</v>
      </c>
      <c r="M42" s="20" t="n">
        <v>7.006</v>
      </c>
      <c r="N42" s="19" t="n">
        <v>36</v>
      </c>
      <c r="O42" s="21">
        <f>IF(COUNT(E42,G42,I42,K42,M42)=5,(SUM(E42,G42,I42,K42,M42)-MIN(E42,G42,I42,K42,M42)), SUM(E42,G42,I42,K42,M42))</f>
        <v/>
      </c>
      <c r="P42" s="22">
        <f>IF(COUNT(F42,H42,J42,L42,N42)=5,(SUM(F42,H42,J42,L42,N42)-MIN(F42,H42,J42,L42,N42)), SUM(F42,H42,J42,L42,N42))</f>
        <v/>
      </c>
    </row>
    <row r="43">
      <c r="A43" s="23" t="n">
        <v>2</v>
      </c>
      <c r="B43" s="24" t="inlineStr">
        <is>
          <t>Oliver Wagenknecht</t>
        </is>
      </c>
      <c r="C43" s="24" t="n">
        <v>1969</v>
      </c>
      <c r="D43" s="24" t="inlineStr">
        <is>
          <t>SV Werder Bremen</t>
        </is>
      </c>
      <c r="E43" s="25" t="n">
        <v>6.444</v>
      </c>
      <c r="F43" s="25" t="n">
        <v>38</v>
      </c>
      <c r="G43" s="26" t="n">
        <v>6.519</v>
      </c>
      <c r="H43" s="24" t="n">
        <v>38</v>
      </c>
      <c r="I43" s="26" t="n">
        <v>6.574</v>
      </c>
      <c r="J43" s="25" t="n">
        <v>36</v>
      </c>
      <c r="K43" s="26" t="n">
        <v>6.584</v>
      </c>
      <c r="L43" s="25" t="n">
        <v>37</v>
      </c>
      <c r="M43" s="26" t="n">
        <v>6.202</v>
      </c>
      <c r="N43" s="25" t="n">
        <v>33</v>
      </c>
      <c r="O43" s="27">
        <f>IF(COUNT(E43,G43,I43,K43,M43)=6,(SUM(E43,G43,I43,K43,M43)-MIN(E43,G43,I43,K43,M43)), SUM(E43,G43,I43,K43,M43))</f>
        <v/>
      </c>
      <c r="P43" s="28">
        <f>IF(COUNT(F43,H43,J43,L43,N43)=6,(SUM(F43,H43,J43,L43,N43)-MIN(F43,H43,J43,L43,N43)), SUM(F43,H43,J43,L43,N43))</f>
        <v/>
      </c>
    </row>
    <row r="44">
      <c r="A44" s="29" t="n">
        <v>3</v>
      </c>
      <c r="B44" s="30" t="inlineStr">
        <is>
          <t>Maik Schroeder</t>
        </is>
      </c>
      <c r="C44" s="30" t="n">
        <v>1973</v>
      </c>
      <c r="D44" s="30" t="inlineStr">
        <is>
          <t>HSG Kanu</t>
        </is>
      </c>
      <c r="E44" s="31" t="n">
        <v>6.404</v>
      </c>
      <c r="F44" s="31" t="n">
        <v>37</v>
      </c>
      <c r="G44" s="32" t="n">
        <v>6.623</v>
      </c>
      <c r="H44" s="30" t="n">
        <v>39</v>
      </c>
      <c r="I44" s="32" t="n"/>
      <c r="J44" s="31" t="n"/>
      <c r="K44" s="32" t="n">
        <v>6.491</v>
      </c>
      <c r="L44" s="31" t="n">
        <v>36</v>
      </c>
      <c r="M44" s="32" t="n">
        <v>6.444</v>
      </c>
      <c r="N44" s="31" t="n">
        <v>35</v>
      </c>
      <c r="O44" s="33">
        <f>IF(COUNT(E44,G44,I44,K44,M44)=7,(SUM(E44,G44,I44,K44,M44)-MIN(E44,G44,I44,K44,M44)), SUM(E44,G44,I44,K44,M44))</f>
        <v/>
      </c>
      <c r="P44" s="34">
        <f>IF(COUNT(F44,H44,J44,L44,N44)=7,(SUM(F44,H44,J44,L44,N44)-MIN(F44,H44,J44,L44,N44)), SUM(F44,H44,J44,L44,N44))</f>
        <v/>
      </c>
    </row>
    <row r="45">
      <c r="A45" s="35" t="n">
        <v>4</v>
      </c>
      <c r="B45" s="24" t="inlineStr">
        <is>
          <t>Mario Hakendahl</t>
        </is>
      </c>
      <c r="C45" s="24" t="n">
        <v>1984</v>
      </c>
      <c r="D45" s="24" t="n"/>
      <c r="E45" s="25" t="n">
        <v>6.373</v>
      </c>
      <c r="F45" s="25" t="n">
        <v>36</v>
      </c>
      <c r="G45" s="26" t="n">
        <v>6.478</v>
      </c>
      <c r="H45" s="24" t="n">
        <v>37</v>
      </c>
      <c r="I45" s="26" t="n">
        <v>6.285</v>
      </c>
      <c r="J45" s="25" t="n">
        <v>35</v>
      </c>
      <c r="K45" s="26" t="n">
        <v>6.103</v>
      </c>
      <c r="L45" s="25" t="n">
        <v>35</v>
      </c>
      <c r="M45" s="26" t="n">
        <v>5.917</v>
      </c>
      <c r="N45" s="25" t="n">
        <v>30</v>
      </c>
      <c r="O45" s="27">
        <f>IF(COUNT(E45,G45,I45,K45,M45)=8,(SUM(E45,G45,I45,K45,M45)-MIN(E45,G45,I45,K45,M45)), SUM(E45,G45,I45,K45,M45))</f>
        <v/>
      </c>
      <c r="P45" s="36">
        <f>IF(COUNT(F45,H45,J45,L45,N45)=8,(SUM(F45,H45,J45,L45,N45)-MIN(F45,H45,J45,L45,N45)), SUM(F45,H45,J45,L45,N45))</f>
        <v/>
      </c>
    </row>
    <row r="46">
      <c r="A46" s="35" t="n">
        <v>5</v>
      </c>
      <c r="B46" s="24" t="inlineStr">
        <is>
          <t>Marc Wolf</t>
        </is>
      </c>
      <c r="C46" s="24" t="n">
        <v>1978</v>
      </c>
      <c r="D46" s="24" t="inlineStr">
        <is>
          <t>HSG</t>
        </is>
      </c>
      <c r="E46" s="25" t="n"/>
      <c r="F46" s="25" t="n"/>
      <c r="G46" s="26" t="n">
        <v>7.615</v>
      </c>
      <c r="H46" s="24" t="n">
        <v>50</v>
      </c>
      <c r="I46" s="26" t="n">
        <v>7.322</v>
      </c>
      <c r="J46" s="25" t="n">
        <v>45</v>
      </c>
      <c r="K46" s="26" t="n">
        <v>7.242</v>
      </c>
      <c r="L46" s="25" t="n">
        <v>40</v>
      </c>
      <c r="M46" s="26" t="n"/>
      <c r="N46" s="25" t="n"/>
      <c r="O46" s="27">
        <f>IF(COUNT(E46,G46,I46,K46,M46)=9,(SUM(E46,G46,I46,K46,M46)-MIN(E46,G46,I46,K46,M46)), SUM(E46,G46,I46,K46,M46))</f>
        <v/>
      </c>
      <c r="P46" s="36">
        <f>IF(COUNT(F46,H46,J46,L46,N46)=9,(SUM(F46,H46,J46,L46,N46)-MIN(F46,H46,J46,L46,N46)), SUM(F46,H46,J46,L46,N46))</f>
        <v/>
      </c>
    </row>
    <row r="47">
      <c r="A47" s="35" t="n">
        <v>6</v>
      </c>
      <c r="B47" s="24" t="inlineStr">
        <is>
          <t>Wilfried Woll</t>
        </is>
      </c>
      <c r="C47" s="24" t="n">
        <v>1963</v>
      </c>
      <c r="D47" s="24" t="inlineStr">
        <is>
          <t>Greifswalder Schachverein</t>
        </is>
      </c>
      <c r="E47" s="25" t="n">
        <v>5.603</v>
      </c>
      <c r="F47" s="25" t="n">
        <v>33</v>
      </c>
      <c r="G47" s="26" t="n">
        <v>5.675</v>
      </c>
      <c r="H47" s="24" t="n">
        <v>35</v>
      </c>
      <c r="I47" s="26" t="n">
        <v>5.843</v>
      </c>
      <c r="J47" s="25" t="n">
        <v>33</v>
      </c>
      <c r="K47" s="26" t="n">
        <v>5.671</v>
      </c>
      <c r="L47" s="25" t="n">
        <v>31</v>
      </c>
      <c r="M47" s="26" t="n">
        <v>5.164</v>
      </c>
      <c r="N47" s="25" t="n">
        <v>28</v>
      </c>
      <c r="O47" s="27">
        <f>IF(COUNT(E47,G47,I47,K47,M47)=10,(SUM(E47,G47,I47,K47,M47)-MIN(E47,G47,I47,K47,M47)), SUM(E47,G47,I47,K47,M47))</f>
        <v/>
      </c>
      <c r="P47" s="36">
        <f>IF(COUNT(F47,H47,J47,L47,N47)=10,(SUM(F47,H47,J47,L47,N47)-MIN(F47,H47,J47,L47,N47)), SUM(F47,H47,J47,L47,N47))</f>
        <v/>
      </c>
    </row>
    <row r="48">
      <c r="A48" s="35" t="n">
        <v>7</v>
      </c>
      <c r="B48" s="24" t="inlineStr">
        <is>
          <t>Ole Petter</t>
        </is>
      </c>
      <c r="C48" s="24" t="n">
        <v>2002</v>
      </c>
      <c r="D48" s="24" t="inlineStr">
        <is>
          <t>HSG</t>
        </is>
      </c>
      <c r="E48" s="25" t="n"/>
      <c r="F48" s="25" t="n"/>
      <c r="G48" s="26" t="n"/>
      <c r="H48" s="24" t="n"/>
      <c r="I48" s="26" t="n">
        <v>6.239</v>
      </c>
      <c r="J48" s="25" t="n">
        <v>34</v>
      </c>
      <c r="K48" s="26" t="n">
        <v>7.548</v>
      </c>
      <c r="L48" s="25" t="n">
        <v>50</v>
      </c>
      <c r="M48" s="26" t="n">
        <v>7.715</v>
      </c>
      <c r="N48" s="25" t="n">
        <v>40</v>
      </c>
      <c r="O48" s="27">
        <f>IF(COUNT(E48,G48,I48,K48,M48)=11,(SUM(E48,G48,I48,K48,M48)-MIN(E48,G48,I48,K48,M48)), SUM(E48,G48,I48,K48,M48))</f>
        <v/>
      </c>
      <c r="P48" s="36">
        <f>IF(COUNT(F48,H48,J48,L48,N48)=11,(SUM(F48,H48,J48,L48,N48)-MIN(F48,H48,J48,L48,N48)), SUM(F48,H48,J48,L48,N48))</f>
        <v/>
      </c>
    </row>
    <row r="49">
      <c r="A49" s="35" t="n">
        <v>8</v>
      </c>
      <c r="B49" s="24" t="inlineStr">
        <is>
          <t>Jens Ewaldt</t>
        </is>
      </c>
      <c r="C49" s="24" t="n">
        <v>1979</v>
      </c>
      <c r="D49" s="24" t="inlineStr">
        <is>
          <t>HSG inklusiv</t>
        </is>
      </c>
      <c r="E49" s="25" t="n">
        <v>5.755</v>
      </c>
      <c r="F49" s="25" t="n">
        <v>35</v>
      </c>
      <c r="G49" s="26" t="n">
        <v>6.107</v>
      </c>
      <c r="H49" s="24" t="n">
        <v>36</v>
      </c>
      <c r="I49" s="26" t="n"/>
      <c r="J49" s="25" t="n"/>
      <c r="K49" s="26" t="n"/>
      <c r="L49" s="25" t="n"/>
      <c r="M49" s="26" t="n">
        <v>6.106</v>
      </c>
      <c r="N49" s="25" t="n">
        <v>31</v>
      </c>
      <c r="O49" s="27">
        <f>IF(COUNT(E49,G49,I49,K49,M49)=12,(SUM(E49,G49,I49,K49,M49)-MIN(E49,G49,I49,K49,M49)), SUM(E49,G49,I49,K49,M49))</f>
        <v/>
      </c>
      <c r="P49" s="36">
        <f>IF(COUNT(F49,H49,J49,L49,N49)=12,(SUM(F49,H49,J49,L49,N49)-MIN(F49,H49,J49,L49,N49)), SUM(F49,H49,J49,L49,N49))</f>
        <v/>
      </c>
    </row>
    <row r="50">
      <c r="A50" s="35" t="n">
        <v>9</v>
      </c>
      <c r="B50" s="24" t="inlineStr">
        <is>
          <t>Dmitry Ushakov</t>
        </is>
      </c>
      <c r="C50" s="24" t="n">
        <v>1973</v>
      </c>
      <c r="D50" s="24" t="inlineStr">
        <is>
          <t>HSG Uni Greifswald</t>
        </is>
      </c>
      <c r="E50" s="25" t="n">
        <v>7.372</v>
      </c>
      <c r="F50" s="25" t="n">
        <v>50</v>
      </c>
      <c r="G50" s="26" t="n"/>
      <c r="H50" s="24" t="n"/>
      <c r="I50" s="26" t="n">
        <v>7.136</v>
      </c>
      <c r="J50" s="25" t="n">
        <v>39</v>
      </c>
      <c r="K50" s="26" t="n"/>
      <c r="L50" s="25" t="n"/>
      <c r="M50" s="26" t="n"/>
      <c r="N50" s="25" t="n"/>
      <c r="O50" s="27">
        <f>IF(COUNT(E50,G50,I50,K50,M50)=13,(SUM(E50,G50,I50,K50,M50)-MIN(E50,G50,I50,K50,M50)), SUM(E50,G50,I50,K50,M50))</f>
        <v/>
      </c>
      <c r="P50" s="36">
        <f>IF(COUNT(F50,H50,J50,L50,N50)=13,(SUM(F50,H50,J50,L50,N50)-MIN(F50,H50,J50,L50,N50)), SUM(F50,H50,J50,L50,N50))</f>
        <v/>
      </c>
    </row>
    <row r="51">
      <c r="A51" s="35" t="n">
        <v>10</v>
      </c>
      <c r="B51" s="24" t="inlineStr">
        <is>
          <t>Jonte Schuldt</t>
        </is>
      </c>
      <c r="C51" s="24" t="n">
        <v>2010</v>
      </c>
      <c r="D51" s="24" t="inlineStr">
        <is>
          <t>HSG Paddeln</t>
        </is>
      </c>
      <c r="E51" s="25" t="n"/>
      <c r="F51" s="25" t="n"/>
      <c r="G51" s="26" t="n"/>
      <c r="H51" s="24" t="n"/>
      <c r="I51" s="26" t="n">
        <v>4.815</v>
      </c>
      <c r="J51" s="25" t="n">
        <v>31</v>
      </c>
      <c r="K51" s="26" t="n">
        <v>5.318</v>
      </c>
      <c r="L51" s="25" t="n">
        <v>28</v>
      </c>
      <c r="M51" s="26" t="n">
        <v>5.454</v>
      </c>
      <c r="N51" s="25" t="n">
        <v>29</v>
      </c>
      <c r="O51" s="27">
        <f>IF(COUNT(E51,G51,I51,K51,M51)=14,(SUM(E51,G51,I51,K51,M51)-MIN(E51,G51,I51,K51,M51)), SUM(E51,G51,I51,K51,M51))</f>
        <v/>
      </c>
      <c r="P51" s="36">
        <f>IF(COUNT(F51,H51,J51,L51,N51)=14,(SUM(F51,H51,J51,L51,N51)-MIN(F51,H51,J51,L51,N51)), SUM(F51,H51,J51,L51,N51))</f>
        <v/>
      </c>
    </row>
    <row r="52">
      <c r="A52" s="35" t="n">
        <v>11</v>
      </c>
      <c r="B52" s="24" t="inlineStr">
        <is>
          <t>Michel Helbig</t>
        </is>
      </c>
      <c r="C52" s="24" t="n">
        <v>2003</v>
      </c>
      <c r="D52" s="24" t="n"/>
      <c r="E52" s="25" t="n"/>
      <c r="F52" s="25" t="n"/>
      <c r="G52" s="26" t="n"/>
      <c r="H52" s="24" t="n"/>
      <c r="I52" s="26" t="n"/>
      <c r="J52" s="25" t="n"/>
      <c r="K52" s="26" t="n">
        <v>7.355</v>
      </c>
      <c r="L52" s="25" t="n">
        <v>45</v>
      </c>
      <c r="M52" s="26" t="n">
        <v>7.713</v>
      </c>
      <c r="N52" s="25" t="n">
        <v>39</v>
      </c>
      <c r="O52" s="27">
        <f>IF(COUNT(E52,G52,I52,K52,M52)=15,(SUM(E52,G52,I52,K52,M52)-MIN(E52,G52,I52,K52,M52)), SUM(E52,G52,I52,K52,M52))</f>
        <v/>
      </c>
      <c r="P52" s="36">
        <f>IF(COUNT(F52,H52,J52,L52,N52)=15,(SUM(F52,H52,J52,L52,N52)-MIN(F52,H52,J52,L52,N52)), SUM(F52,H52,J52,L52,N52))</f>
        <v/>
      </c>
    </row>
    <row r="53">
      <c r="A53" s="35" t="n">
        <v>12</v>
      </c>
      <c r="B53" s="24" t="inlineStr">
        <is>
          <t>Roberto Würfel</t>
        </is>
      </c>
      <c r="C53" s="24" t="n">
        <v>1959</v>
      </c>
      <c r="D53" s="24" t="inlineStr">
        <is>
          <t>LSV Teterow</t>
        </is>
      </c>
      <c r="E53" s="25" t="n"/>
      <c r="F53" s="25" t="n"/>
      <c r="G53" s="26" t="n">
        <v>5.204</v>
      </c>
      <c r="H53" s="24" t="n">
        <v>31</v>
      </c>
      <c r="I53" s="26" t="n">
        <v>5.412</v>
      </c>
      <c r="J53" s="25" t="n">
        <v>32</v>
      </c>
      <c r="K53" s="26" t="n"/>
      <c r="L53" s="25" t="n"/>
      <c r="M53" s="26" t="n"/>
      <c r="N53" s="25" t="n"/>
      <c r="O53" s="27">
        <f>IF(COUNT(E53,G53,I53,K53,M53)=16,(SUM(E53,G53,I53,K53,M53)-MIN(E53,G53,I53,K53,M53)), SUM(E53,G53,I53,K53,M53))</f>
        <v/>
      </c>
      <c r="P53" s="36">
        <f>IF(COUNT(F53,H53,J53,L53,N53)=16,(SUM(F53,H53,J53,L53,N53)-MIN(F53,H53,J53,L53,N53)), SUM(F53,H53,J53,L53,N53))</f>
        <v/>
      </c>
    </row>
    <row r="54">
      <c r="A54" s="35" t="n">
        <v>13</v>
      </c>
      <c r="B54" s="24" t="inlineStr">
        <is>
          <t>Jan-Ole Köster</t>
        </is>
      </c>
      <c r="C54" s="24" t="n">
        <v>2005</v>
      </c>
      <c r="D54" s="24" t="inlineStr">
        <is>
          <t>Monte</t>
        </is>
      </c>
      <c r="E54" s="25" t="n">
        <v>4.456</v>
      </c>
      <c r="F54" s="25" t="n">
        <v>29</v>
      </c>
      <c r="G54" s="26" t="n">
        <v>5.248</v>
      </c>
      <c r="H54" s="24" t="n">
        <v>32</v>
      </c>
      <c r="I54" s="26" t="n"/>
      <c r="J54" s="25" t="n"/>
      <c r="K54" s="26" t="n"/>
      <c r="L54" s="25" t="n"/>
      <c r="M54" s="26" t="n"/>
      <c r="N54" s="25" t="n"/>
      <c r="O54" s="27">
        <f>IF(COUNT(E54,G54,I54,K54,M54)=17,(SUM(E54,G54,I54,K54,M54)-MIN(E54,G54,I54,K54,M54)), SUM(E54,G54,I54,K54,M54))</f>
        <v/>
      </c>
      <c r="P54" s="36">
        <f>IF(COUNT(F54,H54,J54,L54,N54)=17,(SUM(F54,H54,J54,L54,N54)-MIN(F54,H54,J54,L54,N54)), SUM(F54,H54,J54,L54,N54))</f>
        <v/>
      </c>
    </row>
    <row r="55">
      <c r="A55" s="35" t="n">
        <v>14</v>
      </c>
      <c r="B55" s="24" t="inlineStr">
        <is>
          <t>Sebastian Roß</t>
        </is>
      </c>
      <c r="C55" s="24" t="n">
        <v>1979</v>
      </c>
      <c r="D55" s="24" t="inlineStr">
        <is>
          <t>Laufmützen Usedom</t>
        </is>
      </c>
      <c r="E55" s="25" t="n">
        <v>4.921</v>
      </c>
      <c r="F55" s="25" t="n">
        <v>30</v>
      </c>
      <c r="G55" s="26" t="n"/>
      <c r="H55" s="24" t="n"/>
      <c r="I55" s="26" t="n"/>
      <c r="J55" s="25" t="n"/>
      <c r="K55" s="26" t="n">
        <v>5.271</v>
      </c>
      <c r="L55" s="25" t="n">
        <v>26</v>
      </c>
      <c r="M55" s="26" t="n"/>
      <c r="N55" s="25" t="n"/>
      <c r="O55" s="27">
        <f>IF(COUNT(E55,G55,I55,K55,M55)=18,(SUM(E55,G55,I55,K55,M55)-MIN(E55,G55,I55,K55,M55)), SUM(E55,G55,I55,K55,M55))</f>
        <v/>
      </c>
      <c r="P55" s="36">
        <f>IF(COUNT(F55,H55,J55,L55,N55)=18,(SUM(F55,H55,J55,L55,N55)-MIN(F55,H55,J55,L55,N55)), SUM(F55,H55,J55,L55,N55))</f>
        <v/>
      </c>
    </row>
    <row r="56">
      <c r="A56" s="35" t="n">
        <v>15</v>
      </c>
      <c r="B56" s="24" t="inlineStr">
        <is>
          <t>Jakob Saar</t>
        </is>
      </c>
      <c r="C56" s="24" t="n">
        <v>2004</v>
      </c>
      <c r="D56" s="24" t="inlineStr">
        <is>
          <t>Turbine Halle</t>
        </is>
      </c>
      <c r="E56" s="25" t="n"/>
      <c r="F56" s="25" t="n"/>
      <c r="G56" s="26" t="n"/>
      <c r="H56" s="24" t="n"/>
      <c r="I56" s="26" t="n"/>
      <c r="J56" s="25" t="n"/>
      <c r="K56" s="26" t="n"/>
      <c r="L56" s="25" t="n"/>
      <c r="M56" s="26" t="n">
        <v>8.771000000000001</v>
      </c>
      <c r="N56" s="25" t="n">
        <v>50</v>
      </c>
      <c r="O56" s="27">
        <f>IF(COUNT(E56,G56,I56,K56,M56)=19,(SUM(E56,G56,I56,K56,M56)-MIN(E56,G56,I56,K56,M56)), SUM(E56,G56,I56,K56,M56))</f>
        <v/>
      </c>
      <c r="P56" s="36">
        <f>IF(COUNT(F56,H56,J56,L56,N56)=19,(SUM(F56,H56,J56,L56,N56)-MIN(F56,H56,J56,L56,N56)), SUM(F56,H56,J56,L56,N56))</f>
        <v/>
      </c>
    </row>
    <row r="57">
      <c r="A57" s="35" t="n">
        <v>16</v>
      </c>
      <c r="B57" s="24" t="inlineStr">
        <is>
          <t>Rick Mokosch</t>
        </is>
      </c>
      <c r="C57" s="24" t="n">
        <v>1987</v>
      </c>
      <c r="D57" s="24" t="inlineStr">
        <is>
          <t>HSG Uni Greifswald</t>
        </is>
      </c>
      <c r="E57" s="25" t="n"/>
      <c r="F57" s="25" t="n"/>
      <c r="G57" s="26" t="n"/>
      <c r="H57" s="24" t="n"/>
      <c r="I57" s="26" t="n">
        <v>8.114000000000001</v>
      </c>
      <c r="J57" s="25" t="n">
        <v>50</v>
      </c>
      <c r="K57" s="26" t="n"/>
      <c r="L57" s="25" t="n"/>
      <c r="M57" s="26" t="n"/>
      <c r="N57" s="25" t="n"/>
      <c r="O57" s="27">
        <f>IF(COUNT(E57,G57,I57,K57,M57)=20,(SUM(E57,G57,I57,K57,M57)-MIN(E57,G57,I57,K57,M57)), SUM(E57,G57,I57,K57,M57))</f>
        <v/>
      </c>
      <c r="P57" s="36">
        <f>IF(COUNT(F57,H57,J57,L57,N57)=20,(SUM(F57,H57,J57,L57,N57)-MIN(F57,H57,J57,L57,N57)), SUM(F57,H57,J57,L57,N57))</f>
        <v/>
      </c>
    </row>
    <row r="58">
      <c r="A58" s="35" t="n">
        <v>17</v>
      </c>
      <c r="B58" s="24" t="inlineStr">
        <is>
          <t>Hannes Kuntermann</t>
        </is>
      </c>
      <c r="C58" s="24" t="n">
        <v>2002</v>
      </c>
      <c r="D58" s="24" t="inlineStr">
        <is>
          <t>TeamK</t>
        </is>
      </c>
      <c r="E58" s="25" t="n"/>
      <c r="F58" s="25" t="n"/>
      <c r="G58" s="26" t="n"/>
      <c r="H58" s="24" t="n"/>
      <c r="I58" s="26" t="n"/>
      <c r="J58" s="25" t="n"/>
      <c r="K58" s="26" t="n"/>
      <c r="L58" s="25" t="n"/>
      <c r="M58" s="26" t="n">
        <v>7.76</v>
      </c>
      <c r="N58" s="25" t="n">
        <v>45</v>
      </c>
      <c r="O58" s="27">
        <f>IF(COUNT(E58,G58,I58,K58,M58)=21,(SUM(E58,G58,I58,K58,M58)-MIN(E58,G58,I58,K58,M58)), SUM(E58,G58,I58,K58,M58))</f>
        <v/>
      </c>
      <c r="P58" s="36">
        <f>IF(COUNT(F58,H58,J58,L58,N58)=21,(SUM(F58,H58,J58,L58,N58)-MIN(F58,H58,J58,L58,N58)), SUM(F58,H58,J58,L58,N58))</f>
        <v/>
      </c>
    </row>
    <row r="59">
      <c r="A59" s="35" t="n">
        <v>18</v>
      </c>
      <c r="B59" s="24" t="inlineStr">
        <is>
          <t>Torsten Würfel</t>
        </is>
      </c>
      <c r="C59" s="24" t="n">
        <v>1988</v>
      </c>
      <c r="D59" s="24" t="inlineStr">
        <is>
          <t>LSV Teterow</t>
        </is>
      </c>
      <c r="E59" s="25" t="n"/>
      <c r="F59" s="25" t="n"/>
      <c r="G59" s="26" t="n"/>
      <c r="H59" s="24" t="n"/>
      <c r="I59" s="26" t="n">
        <v>7.212</v>
      </c>
      <c r="J59" s="25" t="n">
        <v>40</v>
      </c>
      <c r="K59" s="26" t="n"/>
      <c r="L59" s="25" t="n"/>
      <c r="M59" s="26" t="n"/>
      <c r="N59" s="25" t="n"/>
      <c r="O59" s="27">
        <f>IF(COUNT(E59,G59,I59,K59,M59)=22,(SUM(E59,G59,I59,K59,M59)-MIN(E59,G59,I59,K59,M59)), SUM(E59,G59,I59,K59,M59))</f>
        <v/>
      </c>
      <c r="P59" s="36">
        <f>IF(COUNT(F59,H59,J59,L59,N59)=22,(SUM(F59,H59,J59,L59,N59)-MIN(F59,H59,J59,L59,N59)), SUM(F59,H59,J59,L59,N59))</f>
        <v/>
      </c>
    </row>
    <row r="60">
      <c r="A60" s="35" t="n">
        <v>19</v>
      </c>
      <c r="B60" s="24" t="inlineStr">
        <is>
          <t>Fabian Nowitzki</t>
        </is>
      </c>
      <c r="C60" s="24" t="n">
        <v>1982</v>
      </c>
      <c r="D60" s="24" t="inlineStr">
        <is>
          <t>-</t>
        </is>
      </c>
      <c r="E60" s="25" t="n"/>
      <c r="F60" s="25" t="n"/>
      <c r="G60" s="26" t="n">
        <v>6.904</v>
      </c>
      <c r="H60" s="24" t="n">
        <v>40</v>
      </c>
      <c r="I60" s="26" t="n"/>
      <c r="J60" s="25" t="n"/>
      <c r="K60" s="26" t="n"/>
      <c r="L60" s="25" t="n"/>
      <c r="M60" s="26" t="n"/>
      <c r="N60" s="25" t="n"/>
      <c r="O60" s="27">
        <f>IF(COUNT(E60,G60,I60,K60,M60)=23,(SUM(E60,G60,I60,K60,M60)-MIN(E60,G60,I60,K60,M60)), SUM(E60,G60,I60,K60,M60))</f>
        <v/>
      </c>
      <c r="P60" s="36">
        <f>IF(COUNT(F60,H60,J60,L60,N60)=23,(SUM(F60,H60,J60,L60,N60)-MIN(F60,H60,J60,L60,N60)), SUM(F60,H60,J60,L60,N60))</f>
        <v/>
      </c>
    </row>
    <row r="61">
      <c r="A61" s="35" t="n">
        <v>20</v>
      </c>
      <c r="B61" s="24" t="inlineStr">
        <is>
          <t>M. Arved Gibb</t>
        </is>
      </c>
      <c r="C61" s="24" t="n">
        <v>1992</v>
      </c>
      <c r="D61" s="24" t="inlineStr">
        <is>
          <t>-</t>
        </is>
      </c>
      <c r="E61" s="25" t="n">
        <v>6.829</v>
      </c>
      <c r="F61" s="25" t="n">
        <v>40</v>
      </c>
      <c r="G61" s="26" t="n"/>
      <c r="H61" s="24" t="n"/>
      <c r="I61" s="26" t="n"/>
      <c r="J61" s="25" t="n"/>
      <c r="K61" s="26" t="n"/>
      <c r="L61" s="25" t="n"/>
      <c r="M61" s="26" t="n"/>
      <c r="N61" s="25" t="n"/>
      <c r="O61" s="27">
        <f>IF(COUNT(E61,G61,I61,K61,M61)=24,(SUM(E61,G61,I61,K61,M61)-MIN(E61,G61,I61,K61,M61)), SUM(E61,G61,I61,K61,M61))</f>
        <v/>
      </c>
      <c r="P61" s="36">
        <f>IF(COUNT(F61,H61,J61,L61,N61)=24,(SUM(F61,H61,J61,L61,N61)-MIN(F61,H61,J61,L61,N61)), SUM(F61,H61,J61,L61,N61))</f>
        <v/>
      </c>
    </row>
    <row r="62">
      <c r="A62" s="35" t="n">
        <v>21</v>
      </c>
      <c r="B62" s="24" t="inlineStr">
        <is>
          <t>Dirk Hübner</t>
        </is>
      </c>
      <c r="C62" s="24" t="n">
        <v>1966</v>
      </c>
      <c r="D62" s="24" t="inlineStr">
        <is>
          <t>HGW</t>
        </is>
      </c>
      <c r="E62" s="25" t="n">
        <v>6.492</v>
      </c>
      <c r="F62" s="25" t="n">
        <v>39</v>
      </c>
      <c r="G62" s="26" t="n"/>
      <c r="H62" s="24" t="n"/>
      <c r="I62" s="26" t="n"/>
      <c r="J62" s="25" t="n"/>
      <c r="K62" s="26" t="n"/>
      <c r="L62" s="25" t="n"/>
      <c r="M62" s="26" t="n"/>
      <c r="N62" s="25" t="n"/>
      <c r="O62" s="27">
        <f>IF(COUNT(E62,G62,I62,K62,M62)=25,(SUM(E62,G62,I62,K62,M62)-MIN(E62,G62,I62,K62,M62)), SUM(E62,G62,I62,K62,M62))</f>
        <v/>
      </c>
      <c r="P62" s="36">
        <f>IF(COUNT(F62,H62,J62,L62,N62)=25,(SUM(F62,H62,J62,L62,N62)-MIN(F62,H62,J62,L62,N62)), SUM(F62,H62,J62,L62,N62))</f>
        <v/>
      </c>
    </row>
    <row r="63">
      <c r="A63" s="35" t="n">
        <v>22</v>
      </c>
      <c r="B63" s="24" t="inlineStr">
        <is>
          <t>Philipp Vogelsang</t>
        </is>
      </c>
      <c r="C63" s="24" t="n">
        <v>1984</v>
      </c>
      <c r="D63" s="24" t="inlineStr">
        <is>
          <t>HSG</t>
        </is>
      </c>
      <c r="E63" s="25" t="n"/>
      <c r="F63" s="25" t="n"/>
      <c r="G63" s="26" t="n"/>
      <c r="H63" s="24" t="n"/>
      <c r="I63" s="26" t="n"/>
      <c r="J63" s="25" t="n"/>
      <c r="K63" s="26" t="n"/>
      <c r="L63" s="25" t="n"/>
      <c r="M63" s="26" t="n">
        <v>7.65</v>
      </c>
      <c r="N63" s="25" t="n">
        <v>38</v>
      </c>
      <c r="O63" s="27">
        <f>IF(COUNT(E63,G63,I63,K63,M63)=26,(SUM(E63,G63,I63,K63,M63)-MIN(E63,G63,I63,K63,M63)), SUM(E63,G63,I63,K63,M63))</f>
        <v/>
      </c>
      <c r="P63" s="36">
        <f>IF(COUNT(F63,H63,J63,L63,N63)=26,(SUM(F63,H63,J63,L63,N63)-MIN(F63,H63,J63,L63,N63)), SUM(F63,H63,J63,L63,N63))</f>
        <v/>
      </c>
    </row>
    <row r="64">
      <c r="A64" s="35" t="n">
        <v>23</v>
      </c>
      <c r="B64" s="24" t="inlineStr">
        <is>
          <t>Jens Stein</t>
        </is>
      </c>
      <c r="C64" s="24" t="n">
        <v>1963</v>
      </c>
      <c r="D64" s="24" t="inlineStr">
        <is>
          <t>JD-Running</t>
        </is>
      </c>
      <c r="E64" s="25" t="n"/>
      <c r="F64" s="25" t="n"/>
      <c r="G64" s="26" t="n"/>
      <c r="H64" s="24" t="n"/>
      <c r="I64" s="26" t="n"/>
      <c r="J64" s="25" t="n"/>
      <c r="K64" s="26" t="n">
        <v>6.705</v>
      </c>
      <c r="L64" s="25" t="n">
        <v>38</v>
      </c>
      <c r="M64" s="26" t="n"/>
      <c r="N64" s="25" t="n"/>
      <c r="O64" s="27">
        <f>IF(COUNT(E64,G64,I64,K64,M64)=27,(SUM(E64,G64,I64,K64,M64)-MIN(E64,G64,I64,K64,M64)), SUM(E64,G64,I64,K64,M64))</f>
        <v/>
      </c>
      <c r="P64" s="36">
        <f>IF(COUNT(F64,H64,J64,L64,N64)=27,(SUM(F64,H64,J64,L64,N64)-MIN(F64,H64,J64,L64,N64)), SUM(F64,H64,J64,L64,N64))</f>
        <v/>
      </c>
    </row>
    <row r="65">
      <c r="A65" s="35" t="n">
        <v>24</v>
      </c>
      <c r="B65" s="24" t="inlineStr">
        <is>
          <t>Simone Hämmerle</t>
        </is>
      </c>
      <c r="C65" s="24" t="n">
        <v>2003</v>
      </c>
      <c r="D65" s="24" t="n"/>
      <c r="E65" s="25" t="n"/>
      <c r="F65" s="25" t="n"/>
      <c r="G65" s="26" t="n"/>
      <c r="H65" s="24" t="n"/>
      <c r="I65" s="26" t="n"/>
      <c r="J65" s="25" t="n"/>
      <c r="K65" s="26" t="n"/>
      <c r="L65" s="25" t="n"/>
      <c r="M65" s="26" t="n">
        <v>7.146</v>
      </c>
      <c r="N65" s="25" t="n">
        <v>37</v>
      </c>
      <c r="O65" s="27">
        <f>IF(COUNT(E65,G65,I65,K65,M65)=28,(SUM(E65,G65,I65,K65,M65)-MIN(E65,G65,I65,K65,M65)), SUM(E65,G65,I65,K65,M65))</f>
        <v/>
      </c>
      <c r="P65" s="36">
        <f>IF(COUNT(F65,H65,J65,L65,N65)=28,(SUM(F65,H65,J65,L65,N65)-MIN(F65,H65,J65,L65,N65)), SUM(F65,H65,J65,L65,N65))</f>
        <v/>
      </c>
    </row>
    <row r="66">
      <c r="A66" s="35" t="n">
        <v>25</v>
      </c>
      <c r="B66" s="24" t="inlineStr">
        <is>
          <t>Arwed Gibb</t>
        </is>
      </c>
      <c r="C66" s="24" t="n">
        <v>1992</v>
      </c>
      <c r="D66" s="24" t="inlineStr">
        <is>
          <t>-</t>
        </is>
      </c>
      <c r="E66" s="25" t="n"/>
      <c r="F66" s="25" t="n"/>
      <c r="G66" s="26" t="n"/>
      <c r="H66" s="24" t="n"/>
      <c r="I66" s="26" t="n">
        <v>6.958</v>
      </c>
      <c r="J66" s="25" t="n">
        <v>37</v>
      </c>
      <c r="K66" s="26" t="n"/>
      <c r="L66" s="25" t="n"/>
      <c r="M66" s="26" t="n"/>
      <c r="N66" s="25" t="n"/>
      <c r="O66" s="27">
        <f>IF(COUNT(E66,G66,I66,K66,M66)=29,(SUM(E66,G66,I66,K66,M66)-MIN(E66,G66,I66,K66,M66)), SUM(E66,G66,I66,K66,M66))</f>
        <v/>
      </c>
      <c r="P66" s="36">
        <f>IF(COUNT(F66,H66,J66,L66,N66)=29,(SUM(F66,H66,J66,L66,N66)-MIN(F66,H66,J66,L66,N66)), SUM(F66,H66,J66,L66,N66))</f>
        <v/>
      </c>
    </row>
    <row r="67">
      <c r="A67" s="35" t="n">
        <v>26</v>
      </c>
      <c r="B67" s="24" t="inlineStr">
        <is>
          <t>Ben Mosterz</t>
        </is>
      </c>
      <c r="C67" s="24" t="n">
        <v>2010</v>
      </c>
      <c r="D67" s="24" t="inlineStr">
        <is>
          <t>Blau-Weiß Greifswald</t>
        </is>
      </c>
      <c r="E67" s="25" t="n"/>
      <c r="F67" s="25" t="n"/>
      <c r="G67" s="26" t="n"/>
      <c r="H67" s="24" t="n"/>
      <c r="I67" s="26" t="n"/>
      <c r="J67" s="25" t="n"/>
      <c r="K67" s="26" t="n"/>
      <c r="L67" s="25" t="n"/>
      <c r="M67" s="26" t="n">
        <v>6.233</v>
      </c>
      <c r="N67" s="25" t="n">
        <v>34</v>
      </c>
      <c r="O67" s="27">
        <f>IF(COUNT(E67,G67,I67,K67,M67)=30,(SUM(E67,G67,I67,K67,M67)-MIN(E67,G67,I67,K67,M67)), SUM(E67,G67,I67,K67,M67))</f>
        <v/>
      </c>
      <c r="P67" s="36">
        <f>IF(COUNT(F67,H67,J67,L67,N67)=30,(SUM(F67,H67,J67,L67,N67)-MIN(F67,H67,J67,L67,N67)), SUM(F67,H67,J67,L67,N67))</f>
        <v/>
      </c>
    </row>
    <row r="68">
      <c r="A68" s="35" t="n">
        <v>27</v>
      </c>
      <c r="B68" s="24" t="inlineStr">
        <is>
          <t>Luca DePauw</t>
        </is>
      </c>
      <c r="C68" s="24" t="n">
        <v>2010</v>
      </c>
      <c r="D68" s="24" t="inlineStr">
        <is>
          <t>HSG Radsport</t>
        </is>
      </c>
      <c r="E68" s="25" t="n"/>
      <c r="F68" s="25" t="n"/>
      <c r="G68" s="26" t="n"/>
      <c r="H68" s="24" t="n"/>
      <c r="I68" s="26" t="n"/>
      <c r="J68" s="25" t="n"/>
      <c r="K68" s="26" t="n">
        <v>5.771</v>
      </c>
      <c r="L68" s="25" t="n">
        <v>34</v>
      </c>
      <c r="M68" s="26" t="n"/>
      <c r="N68" s="25" t="n"/>
      <c r="O68" s="27">
        <f>IF(COUNT(E68,G68,I68,K68,M68)=31,(SUM(E68,G68,I68,K68,M68)-MIN(E68,G68,I68,K68,M68)), SUM(E68,G68,I68,K68,M68))</f>
        <v/>
      </c>
      <c r="P68" s="36">
        <f>IF(COUNT(F68,H68,J68,L68,N68)=31,(SUM(F68,H68,J68,L68,N68)-MIN(F68,H68,J68,L68,N68)), SUM(F68,H68,J68,L68,N68))</f>
        <v/>
      </c>
    </row>
    <row r="69">
      <c r="A69" s="35" t="n">
        <v>28</v>
      </c>
      <c r="B69" s="24" t="inlineStr">
        <is>
          <t>Gregor Ebinger</t>
        </is>
      </c>
      <c r="C69" s="24" t="n">
        <v>2013</v>
      </c>
      <c r="D69" s="24" t="inlineStr">
        <is>
          <t>Monte</t>
        </is>
      </c>
      <c r="E69" s="25" t="n"/>
      <c r="F69" s="25" t="n"/>
      <c r="G69" s="26" t="n">
        <v>5.672</v>
      </c>
      <c r="H69" s="24" t="n">
        <v>34</v>
      </c>
      <c r="I69" s="26" t="n"/>
      <c r="J69" s="25" t="n"/>
      <c r="K69" s="26" t="n"/>
      <c r="L69" s="25" t="n"/>
      <c r="M69" s="26" t="n"/>
      <c r="N69" s="25" t="n"/>
      <c r="O69" s="27">
        <f>IF(COUNT(E69,G69,I69,K69,M69)=32,(SUM(E69,G69,I69,K69,M69)-MIN(E69,G69,I69,K69,M69)), SUM(E69,G69,I69,K69,M69))</f>
        <v/>
      </c>
      <c r="P69" s="36">
        <f>IF(COUNT(F69,H69,J69,L69,N69)=32,(SUM(F69,H69,J69,L69,N69)-MIN(F69,H69,J69,L69,N69)), SUM(F69,H69,J69,L69,N69))</f>
        <v/>
      </c>
    </row>
    <row r="70">
      <c r="A70" s="35" t="n">
        <v>29</v>
      </c>
      <c r="B70" s="24" t="inlineStr">
        <is>
          <t>Michael Grothe</t>
        </is>
      </c>
      <c r="C70" s="24" t="n">
        <v>2012</v>
      </c>
      <c r="D70" s="24" t="inlineStr">
        <is>
          <t>HSG Teakwando</t>
        </is>
      </c>
      <c r="E70" s="25" t="n">
        <v>5.63</v>
      </c>
      <c r="F70" s="25" t="n">
        <v>34</v>
      </c>
      <c r="G70" s="26" t="n"/>
      <c r="H70" s="24" t="n"/>
      <c r="I70" s="26" t="n"/>
      <c r="J70" s="25" t="n"/>
      <c r="K70" s="26" t="n"/>
      <c r="L70" s="25" t="n"/>
      <c r="M70" s="26" t="n"/>
      <c r="N70" s="25" t="n"/>
      <c r="O70" s="27">
        <f>IF(COUNT(E70,G70,I70,K70,M70)=33,(SUM(E70,G70,I70,K70,M70)-MIN(E70,G70,I70,K70,M70)), SUM(E70,G70,I70,K70,M70))</f>
        <v/>
      </c>
      <c r="P70" s="36">
        <f>IF(COUNT(F70,H70,J70,L70,N70)=33,(SUM(F70,H70,J70,L70,N70)-MIN(F70,H70,J70,L70,N70)), SUM(F70,H70,J70,L70,N70))</f>
        <v/>
      </c>
    </row>
    <row r="71">
      <c r="A71" s="35" t="n">
        <v>30</v>
      </c>
      <c r="B71" s="24" t="inlineStr">
        <is>
          <t>Henry Wendel</t>
        </is>
      </c>
      <c r="C71" s="24" t="n">
        <v>1963</v>
      </c>
      <c r="D71" s="24" t="inlineStr">
        <is>
          <t>HSV Neubrandenburg</t>
        </is>
      </c>
      <c r="E71" s="25" t="n"/>
      <c r="F71" s="25" t="n"/>
      <c r="G71" s="26" t="n"/>
      <c r="H71" s="24" t="n"/>
      <c r="I71" s="26" t="n"/>
      <c r="J71" s="25" t="n"/>
      <c r="K71" s="26" t="n">
        <v>5.741</v>
      </c>
      <c r="L71" s="25" t="n">
        <v>33</v>
      </c>
      <c r="M71" s="26" t="n"/>
      <c r="N71" s="25" t="n"/>
      <c r="O71" s="27">
        <f>IF(COUNT(E71,G71,I71,K71,M71)=34,(SUM(E71,G71,I71,K71,M71)-MIN(E71,G71,I71,K71,M71)), SUM(E71,G71,I71,K71,M71))</f>
        <v/>
      </c>
      <c r="P71" s="36">
        <f>IF(COUNT(F71,H71,J71,L71,N71)=34,(SUM(F71,H71,J71,L71,N71)-MIN(F71,H71,J71,L71,N71)), SUM(F71,H71,J71,L71,N71))</f>
        <v/>
      </c>
    </row>
    <row r="72">
      <c r="A72" s="35" t="n">
        <v>31</v>
      </c>
      <c r="B72" s="24" t="inlineStr">
        <is>
          <t>Arnt Ebinger</t>
        </is>
      </c>
      <c r="C72" s="24" t="n">
        <v>1986</v>
      </c>
      <c r="D72" s="24" t="inlineStr">
        <is>
          <t>HSG</t>
        </is>
      </c>
      <c r="E72" s="25" t="n"/>
      <c r="F72" s="25" t="n"/>
      <c r="G72" s="26" t="n">
        <v>5.603</v>
      </c>
      <c r="H72" s="24" t="n">
        <v>33</v>
      </c>
      <c r="I72" s="26" t="n"/>
      <c r="J72" s="25" t="n"/>
      <c r="K72" s="26" t="n"/>
      <c r="L72" s="25" t="n"/>
      <c r="M72" s="26" t="n"/>
      <c r="N72" s="25" t="n"/>
      <c r="O72" s="27">
        <f>IF(COUNT(E72,G72,I72,K72,M72)=35,(SUM(E72,G72,I72,K72,M72)-MIN(E72,G72,I72,K72,M72)), SUM(E72,G72,I72,K72,M72))</f>
        <v/>
      </c>
      <c r="P72" s="36">
        <f>IF(COUNT(F72,H72,J72,L72,N72)=35,(SUM(F72,H72,J72,L72,N72)-MIN(F72,H72,J72,L72,N72)), SUM(F72,H72,J72,L72,N72))</f>
        <v/>
      </c>
    </row>
    <row r="73">
      <c r="A73" s="35" t="n">
        <v>32</v>
      </c>
      <c r="B73" s="24" t="inlineStr">
        <is>
          <t>Lukas Thiel</t>
        </is>
      </c>
      <c r="C73" s="24" t="n">
        <v>1996</v>
      </c>
      <c r="D73" s="24" t="n"/>
      <c r="E73" s="25" t="n"/>
      <c r="F73" s="25" t="n"/>
      <c r="G73" s="26" t="n"/>
      <c r="H73" s="24" t="n"/>
      <c r="I73" s="26" t="n"/>
      <c r="J73" s="25" t="n"/>
      <c r="K73" s="26" t="n"/>
      <c r="L73" s="25" t="n"/>
      <c r="M73" s="26" t="n">
        <v>6.114</v>
      </c>
      <c r="N73" s="25" t="n">
        <v>32</v>
      </c>
      <c r="O73" s="27">
        <f>IF(COUNT(E73,G73,I73,K73,M73)=36,(SUM(E73,G73,I73,K73,M73)-MIN(E73,G73,I73,K73,M73)), SUM(E73,G73,I73,K73,M73))</f>
        <v/>
      </c>
      <c r="P73" s="36">
        <f>IF(COUNT(F73,H73,J73,L73,N73)=36,(SUM(F73,H73,J73,L73,N73)-MIN(F73,H73,J73,L73,N73)), SUM(F73,H73,J73,L73,N73))</f>
        <v/>
      </c>
    </row>
    <row r="74">
      <c r="A74" s="35" t="n">
        <v>33</v>
      </c>
      <c r="B74" s="24" t="inlineStr">
        <is>
          <t>Veit Hannemann</t>
        </is>
      </c>
      <c r="C74" s="24" t="n">
        <v>2006</v>
      </c>
      <c r="D74" s="24" t="n"/>
      <c r="E74" s="25" t="n"/>
      <c r="F74" s="25" t="n"/>
      <c r="G74" s="26" t="n"/>
      <c r="H74" s="24" t="n"/>
      <c r="I74" s="26" t="n"/>
      <c r="J74" s="25" t="n"/>
      <c r="K74" s="26" t="n">
        <v>5.738</v>
      </c>
      <c r="L74" s="25" t="n">
        <v>32</v>
      </c>
      <c r="M74" s="26" t="n"/>
      <c r="N74" s="25" t="n"/>
      <c r="O74" s="27">
        <f>IF(COUNT(E74,G74,I74,K74,M74)=37,(SUM(E74,G74,I74,K74,M74)-MIN(E74,G74,I74,K74,M74)), SUM(E74,G74,I74,K74,M74))</f>
        <v/>
      </c>
      <c r="P74" s="36">
        <f>IF(COUNT(F74,H74,J74,L74,N74)=37,(SUM(F74,H74,J74,L74,N74)-MIN(F74,H74,J74,L74,N74)), SUM(F74,H74,J74,L74,N74))</f>
        <v/>
      </c>
    </row>
    <row r="75">
      <c r="A75" s="35" t="n">
        <v>34</v>
      </c>
      <c r="B75" s="24" t="inlineStr">
        <is>
          <t>Martin Klage</t>
        </is>
      </c>
      <c r="C75" s="24" t="n">
        <v>1985</v>
      </c>
      <c r="D75" s="24" t="inlineStr">
        <is>
          <t>HSG Uni Greifswald</t>
        </is>
      </c>
      <c r="E75" s="25" t="n">
        <v>5.492</v>
      </c>
      <c r="F75" s="25" t="n">
        <v>32</v>
      </c>
      <c r="G75" s="26" t="n"/>
      <c r="H75" s="24" t="n"/>
      <c r="I75" s="26" t="n"/>
      <c r="J75" s="25" t="n"/>
      <c r="K75" s="26" t="n"/>
      <c r="L75" s="25" t="n"/>
      <c r="M75" s="26" t="n"/>
      <c r="N75" s="25" t="n"/>
      <c r="O75" s="27">
        <f>IF(COUNT(E75,G75,I75,K75,M75)=38,(SUM(E75,G75,I75,K75,M75)-MIN(E75,G75,I75,K75,M75)), SUM(E75,G75,I75,K75,M75))</f>
        <v/>
      </c>
      <c r="P75" s="36">
        <f>IF(COUNT(F75,H75,J75,L75,N75)=38,(SUM(F75,H75,J75,L75,N75)-MIN(F75,H75,J75,L75,N75)), SUM(F75,H75,J75,L75,N75))</f>
        <v/>
      </c>
    </row>
    <row r="76">
      <c r="A76" s="35" t="n">
        <v>35</v>
      </c>
      <c r="B76" s="24" t="inlineStr">
        <is>
          <t>Andreas Worm</t>
        </is>
      </c>
      <c r="C76" s="24" t="n">
        <v>1981</v>
      </c>
      <c r="D76" s="24" t="inlineStr">
        <is>
          <t>HSG Teakwando</t>
        </is>
      </c>
      <c r="E76" s="25" t="n">
        <v>5.221</v>
      </c>
      <c r="F76" s="25" t="n">
        <v>31</v>
      </c>
      <c r="G76" s="26" t="n"/>
      <c r="H76" s="24" t="n"/>
      <c r="I76" s="26" t="n"/>
      <c r="J76" s="25" t="n"/>
      <c r="K76" s="26" t="n"/>
      <c r="L76" s="25" t="n"/>
      <c r="M76" s="26" t="n"/>
      <c r="N76" s="25" t="n"/>
      <c r="O76" s="27">
        <f>IF(COUNT(E76,G76,I76,K76,M76)=39,(SUM(E76,G76,I76,K76,M76)-MIN(E76,G76,I76,K76,M76)), SUM(E76,G76,I76,K76,M76))</f>
        <v/>
      </c>
      <c r="P76" s="36">
        <f>IF(COUNT(F76,H76,J76,L76,N76)=39,(SUM(F76,H76,J76,L76,N76)-MIN(F76,H76,J76,L76,N76)), SUM(F76,H76,J76,L76,N76))</f>
        <v/>
      </c>
    </row>
    <row r="77">
      <c r="A77" s="35" t="n">
        <v>36</v>
      </c>
      <c r="B77" s="24" t="inlineStr">
        <is>
          <t>Richard Buth</t>
        </is>
      </c>
      <c r="C77" s="24" t="n">
        <v>2005</v>
      </c>
      <c r="D77" s="24" t="inlineStr">
        <is>
          <t>-</t>
        </is>
      </c>
      <c r="E77" s="25" t="n"/>
      <c r="F77" s="25" t="n"/>
      <c r="G77" s="26" t="n"/>
      <c r="H77" s="24" t="n"/>
      <c r="I77" s="26" t="n"/>
      <c r="J77" s="25" t="n"/>
      <c r="K77" s="26" t="n">
        <v>5.622</v>
      </c>
      <c r="L77" s="25" t="n">
        <v>30</v>
      </c>
      <c r="M77" s="26" t="n"/>
      <c r="N77" s="25" t="n"/>
      <c r="O77" s="27">
        <f>IF(COUNT(E77,G77,I77,K77,M77)=40,(SUM(E77,G77,I77,K77,M77)-MIN(E77,G77,I77,K77,M77)), SUM(E77,G77,I77,K77,M77))</f>
        <v/>
      </c>
      <c r="P77" s="36">
        <f>IF(COUNT(F77,H77,J77,L77,N77)=40,(SUM(F77,H77,J77,L77,N77)-MIN(F77,H77,J77,L77,N77)), SUM(F77,H77,J77,L77,N77))</f>
        <v/>
      </c>
    </row>
    <row r="78">
      <c r="A78" s="35" t="n">
        <v>37</v>
      </c>
      <c r="B78" s="24" t="inlineStr">
        <is>
          <t>Alexander Fussan</t>
        </is>
      </c>
      <c r="C78" s="24" t="n">
        <v>2003</v>
      </c>
      <c r="D78" s="24" t="inlineStr">
        <is>
          <t>-</t>
        </is>
      </c>
      <c r="E78" s="25" t="n"/>
      <c r="F78" s="25" t="n"/>
      <c r="G78" s="26" t="n">
        <v>5.202</v>
      </c>
      <c r="H78" s="24" t="n">
        <v>30</v>
      </c>
      <c r="I78" s="26" t="n"/>
      <c r="J78" s="25" t="n"/>
      <c r="K78" s="26" t="n"/>
      <c r="L78" s="25" t="n"/>
      <c r="M78" s="26" t="n"/>
      <c r="N78" s="25" t="n"/>
      <c r="O78" s="27">
        <f>IF(COUNT(E78,G78,I78,K78,M78)=41,(SUM(E78,G78,I78,K78,M78)-MIN(E78,G78,I78,K78,M78)), SUM(E78,G78,I78,K78,M78))</f>
        <v/>
      </c>
      <c r="P78" s="36">
        <f>IF(COUNT(F78,H78,J78,L78,N78)=41,(SUM(F78,H78,J78,L78,N78)-MIN(F78,H78,J78,L78,N78)), SUM(F78,H78,J78,L78,N78))</f>
        <v/>
      </c>
    </row>
    <row r="79">
      <c r="A79" s="35" t="n">
        <v>38</v>
      </c>
      <c r="B79" s="24" t="inlineStr">
        <is>
          <t>Martin Reul</t>
        </is>
      </c>
      <c r="C79" s="24" t="n">
        <v>2013</v>
      </c>
      <c r="D79" s="24" t="inlineStr">
        <is>
          <t>HSG Kanu</t>
        </is>
      </c>
      <c r="E79" s="25" t="n"/>
      <c r="F79" s="25" t="n"/>
      <c r="G79" s="26" t="n"/>
      <c r="H79" s="24" t="n"/>
      <c r="I79" s="26" t="n">
        <v>3.291</v>
      </c>
      <c r="J79" s="25" t="n">
        <v>30</v>
      </c>
      <c r="K79" s="26" t="n"/>
      <c r="L79" s="25" t="n"/>
      <c r="M79" s="26" t="n"/>
      <c r="N79" s="25" t="n"/>
      <c r="O79" s="27">
        <f>IF(COUNT(E79,G79,I79,K79,M79)=42,(SUM(E79,G79,I79,K79,M79)-MIN(E79,G79,I79,K79,M79)), SUM(E79,G79,I79,K79,M79))</f>
        <v/>
      </c>
      <c r="P79" s="36">
        <f>IF(COUNT(F79,H79,J79,L79,N79)=42,(SUM(F79,H79,J79,L79,N79)-MIN(F79,H79,J79,L79,N79)), SUM(F79,H79,J79,L79,N79))</f>
        <v/>
      </c>
    </row>
    <row r="80">
      <c r="A80" s="35" t="n">
        <v>39</v>
      </c>
      <c r="B80" s="24" t="inlineStr">
        <is>
          <t>Linus Pannwik</t>
        </is>
      </c>
      <c r="C80" s="24" t="n">
        <v>2004</v>
      </c>
      <c r="D80" s="24" t="n"/>
      <c r="E80" s="25" t="n"/>
      <c r="F80" s="25" t="n"/>
      <c r="G80" s="26" t="n"/>
      <c r="H80" s="24" t="n"/>
      <c r="I80" s="26" t="n"/>
      <c r="J80" s="25" t="n"/>
      <c r="K80" s="26" t="n">
        <v>5.327</v>
      </c>
      <c r="L80" s="25" t="n">
        <v>29</v>
      </c>
      <c r="M80" s="26" t="n"/>
      <c r="N80" s="25" t="n"/>
      <c r="O80" s="27">
        <f>IF(COUNT(E80,G80,I80,K80,M80)=43,(SUM(E80,G80,I80,K80,M80)-MIN(E80,G80,I80,K80,M80)), SUM(E80,G80,I80,K80,M80))</f>
        <v/>
      </c>
      <c r="P80" s="36">
        <f>IF(COUNT(F80,H80,J80,L80,N80)=43,(SUM(F80,H80,J80,L80,N80)-MIN(F80,H80,J80,L80,N80)), SUM(F80,H80,J80,L80,N80))</f>
        <v/>
      </c>
    </row>
    <row r="81">
      <c r="A81" s="35" t="n">
        <v>40</v>
      </c>
      <c r="B81" s="24" t="inlineStr">
        <is>
          <t>Augustus Sack</t>
        </is>
      </c>
      <c r="C81" s="24" t="n">
        <v>2010</v>
      </c>
      <c r="D81" s="24" t="inlineStr">
        <is>
          <t>HSG Uni Kanu</t>
        </is>
      </c>
      <c r="E81" s="25" t="n"/>
      <c r="F81" s="25" t="n"/>
      <c r="G81" s="26" t="n"/>
      <c r="H81" s="24" t="n"/>
      <c r="I81" s="26" t="n"/>
      <c r="J81" s="25" t="n"/>
      <c r="K81" s="26" t="n">
        <v>5.318</v>
      </c>
      <c r="L81" s="25" t="n">
        <v>27</v>
      </c>
      <c r="M81" s="26" t="n"/>
      <c r="N81" s="25" t="n"/>
      <c r="O81" s="27">
        <f>IF(COUNT(E81,G81,I81,K81,M81)=44,(SUM(E81,G81,I81,K81,M81)-MIN(E81,G81,I81,K81,M81)), SUM(E81,G81,I81,K81,M81))</f>
        <v/>
      </c>
      <c r="P81" s="36">
        <f>IF(COUNT(F81,H81,J81,L81,N81)=44,(SUM(F81,H81,J81,L81,N81)-MIN(F81,H81,J81,L81,N81)), SUM(F81,H81,J81,L81,N81))</f>
        <v/>
      </c>
    </row>
    <row r="82">
      <c r="A82" s="35" t="n">
        <v>41</v>
      </c>
      <c r="B82" s="24" t="inlineStr">
        <is>
          <t>Johann Hardenberg</t>
        </is>
      </c>
      <c r="C82" s="24" t="n">
        <v>2010</v>
      </c>
      <c r="D82" s="24" t="inlineStr">
        <is>
          <t>HSG Kanu</t>
        </is>
      </c>
      <c r="E82" s="25" t="n"/>
      <c r="F82" s="25" t="n"/>
      <c r="G82" s="26" t="n"/>
      <c r="H82" s="24" t="n"/>
      <c r="I82" s="26" t="n"/>
      <c r="J82" s="25" t="n"/>
      <c r="K82" s="26" t="n">
        <v>5.067</v>
      </c>
      <c r="L82" s="25" t="n">
        <v>25</v>
      </c>
      <c r="M82" s="26" t="n"/>
      <c r="N82" s="25" t="n"/>
      <c r="O82" s="27">
        <f>IF(COUNT(E82,G82,I82,K82,M82)=45,(SUM(E82,G82,I82,K82,M82)-MIN(E82,G82,I82,K82,M82)), SUM(E82,G82,I82,K82,M82))</f>
        <v/>
      </c>
      <c r="P82" s="36">
        <f>IF(COUNT(F82,H82,J82,L82,N82)=45,(SUM(F82,H82,J82,L82,N82)-MIN(F82,H82,J82,L82,N82)), SUM(F82,H82,J82,L82,N82))</f>
        <v/>
      </c>
    </row>
    <row r="83">
      <c r="A83" s="35" t="n">
        <v>42</v>
      </c>
      <c r="B83" s="24" t="inlineStr">
        <is>
          <t>Matthis Hardenberg</t>
        </is>
      </c>
      <c r="C83" s="24" t="n">
        <v>2010</v>
      </c>
      <c r="D83" s="24" t="inlineStr">
        <is>
          <t>HSG Uni Kanu</t>
        </is>
      </c>
      <c r="E83" s="25" t="n"/>
      <c r="F83" s="25" t="n"/>
      <c r="G83" s="26" t="n"/>
      <c r="H83" s="24" t="n"/>
      <c r="I83" s="26" t="n"/>
      <c r="J83" s="25" t="n"/>
      <c r="K83" s="26" t="n">
        <v>4.259</v>
      </c>
      <c r="L83" s="25" t="n">
        <v>24</v>
      </c>
      <c r="M83" s="26" t="n"/>
      <c r="N83" s="25" t="n"/>
      <c r="O83" s="27">
        <f>IF(COUNT(E83,G83,I83,K83,M83)=46,(SUM(E83,G83,I83,K83,M83)-MIN(E83,G83,I83,K83,M83)), SUM(E83,G83,I83,K83,M83))</f>
        <v/>
      </c>
      <c r="P83" s="36">
        <f>IF(COUNT(F83,H83,J83,L83,N83)=46,(SUM(F83,H83,J83,L83,N83)-MIN(F83,H83,J83,L83,N83)), SUM(F83,H83,J83,L83,N83))</f>
        <v/>
      </c>
    </row>
    <row r="84">
      <c r="A84" s="35" t="n">
        <v>43</v>
      </c>
      <c r="B84" s="24" t="inlineStr">
        <is>
          <t>Andre Lubitz</t>
        </is>
      </c>
      <c r="C84" s="24" t="n">
        <v>1971</v>
      </c>
      <c r="D84" s="24" t="inlineStr">
        <is>
          <t>Biegacze Swinoujsce</t>
        </is>
      </c>
      <c r="E84" s="25" t="n"/>
      <c r="F84" s="25" t="n"/>
      <c r="G84" s="26" t="n"/>
      <c r="H84" s="24" t="n"/>
      <c r="I84" s="26" t="n"/>
      <c r="J84" s="25" t="n"/>
      <c r="K84" s="26" t="n">
        <v>4.127</v>
      </c>
      <c r="L84" s="25" t="n">
        <v>23</v>
      </c>
      <c r="M84" s="26" t="n"/>
      <c r="N84" s="25" t="n"/>
      <c r="O84" s="27">
        <f>IF(COUNT(E84,G84,I84,K84,M84)=47,(SUM(E84,G84,I84,K84,M84)-MIN(E84,G84,I84,K84,M84)), SUM(E84,G84,I84,K84,M84))</f>
        <v/>
      </c>
      <c r="P84" s="36">
        <f>IF(COUNT(F84,H84,J84,L84,N84)=47,(SUM(F84,H84,J84,L84,N84)-MIN(F84,H84,J84,L84,N84)), SUM(F84,H84,J84,L84,N84))</f>
        <v/>
      </c>
    </row>
    <row r="86">
      <c r="A86" s="1" t="inlineStr">
        <is>
          <t>3. Einstundenlauf - W</t>
        </is>
      </c>
      <c r="E86" s="2" t="n"/>
      <c r="F86" s="3" t="n"/>
      <c r="G86" s="3" t="n"/>
      <c r="H86" s="3" t="n"/>
      <c r="I86" s="3" t="n"/>
      <c r="J86" s="3" t="n"/>
      <c r="K86" s="2" t="n"/>
      <c r="L86" s="3" t="n"/>
      <c r="M86" s="3" t="n"/>
      <c r="N86" s="3" t="n"/>
    </row>
    <row r="87">
      <c r="A87" s="4" t="n"/>
      <c r="B87" s="3" t="n"/>
      <c r="C87" s="3" t="n"/>
      <c r="D87" s="3" t="n"/>
      <c r="E87" s="5" t="inlineStr">
        <is>
          <t>1. Lauf</t>
        </is>
      </c>
      <c r="F87" s="6" t="n"/>
      <c r="G87" s="7" t="inlineStr">
        <is>
          <t>2. Lauf</t>
        </is>
      </c>
      <c r="H87" s="6" t="n"/>
      <c r="I87" s="7" t="inlineStr">
        <is>
          <t>3. Lauf</t>
        </is>
      </c>
      <c r="J87" s="6" t="n"/>
      <c r="K87" s="5" t="inlineStr">
        <is>
          <t>4. Lauf</t>
        </is>
      </c>
      <c r="L87" s="6" t="n"/>
      <c r="M87" s="7" t="inlineStr">
        <is>
          <t>5. Lauf</t>
        </is>
      </c>
      <c r="N87" s="6" t="n"/>
      <c r="O87" s="7" t="inlineStr">
        <is>
          <t>Gesamt</t>
        </is>
      </c>
      <c r="P87" s="6" t="n"/>
    </row>
    <row r="88">
      <c r="A88" s="8" t="inlineStr">
        <is>
          <t>Platz</t>
        </is>
      </c>
      <c r="B88" s="8" t="inlineStr">
        <is>
          <t>Vorname/Name</t>
        </is>
      </c>
      <c r="C88" s="9" t="inlineStr">
        <is>
          <t>Jg.</t>
        </is>
      </c>
      <c r="D88" s="8" t="inlineStr">
        <is>
          <t>Verein</t>
        </is>
      </c>
      <c r="E88" s="10" t="inlineStr">
        <is>
          <t>Laufstr.</t>
        </is>
      </c>
      <c r="F88" s="8" t="inlineStr">
        <is>
          <t>Wertung</t>
        </is>
      </c>
      <c r="G88" s="8" t="inlineStr">
        <is>
          <t>Laufstr.</t>
        </is>
      </c>
      <c r="H88" s="8" t="inlineStr">
        <is>
          <t>Wertung</t>
        </is>
      </c>
      <c r="I88" s="8" t="inlineStr">
        <is>
          <t>Laufstr.</t>
        </is>
      </c>
      <c r="J88" s="8" t="inlineStr">
        <is>
          <t>Wertung</t>
        </is>
      </c>
      <c r="K88" s="10" t="inlineStr">
        <is>
          <t>Laufstr.</t>
        </is>
      </c>
      <c r="L88" s="8" t="inlineStr">
        <is>
          <t>Wertung</t>
        </is>
      </c>
      <c r="M88" s="8" t="inlineStr">
        <is>
          <t>Laufstr.</t>
        </is>
      </c>
      <c r="N88" s="8" t="inlineStr">
        <is>
          <t>Wertung</t>
        </is>
      </c>
      <c r="O88" s="10" t="inlineStr">
        <is>
          <t>Laufstr.</t>
        </is>
      </c>
      <c r="P88" s="8" t="inlineStr">
        <is>
          <t>Wertung</t>
        </is>
      </c>
    </row>
    <row r="89">
      <c r="A89" s="11" t="n"/>
      <c r="B89" s="12" t="n"/>
      <c r="C89" s="13" t="n"/>
      <c r="D89" s="12" t="n"/>
      <c r="E89" s="11" t="inlineStr">
        <is>
          <t>(km)</t>
        </is>
      </c>
      <c r="F89" s="11" t="inlineStr">
        <is>
          <t>(Punkte)</t>
        </is>
      </c>
      <c r="G89" s="11" t="inlineStr">
        <is>
          <t>(km)</t>
        </is>
      </c>
      <c r="H89" s="11" t="inlineStr">
        <is>
          <t>(Punkte)</t>
        </is>
      </c>
      <c r="I89" s="11" t="inlineStr">
        <is>
          <t>(km)</t>
        </is>
      </c>
      <c r="J89" s="11" t="inlineStr">
        <is>
          <t>(Punkte)</t>
        </is>
      </c>
      <c r="K89" s="14" t="inlineStr">
        <is>
          <t>(km)</t>
        </is>
      </c>
      <c r="L89" s="15" t="inlineStr">
        <is>
          <t>(Punkte)</t>
        </is>
      </c>
      <c r="M89" s="11" t="inlineStr">
        <is>
          <t>(km)</t>
        </is>
      </c>
      <c r="N89" s="11" t="inlineStr">
        <is>
          <t>(Punkte)</t>
        </is>
      </c>
      <c r="O89" s="16" t="inlineStr">
        <is>
          <t>(km)</t>
        </is>
      </c>
      <c r="P89" s="15" t="inlineStr">
        <is>
          <t>(Punkte)</t>
        </is>
      </c>
    </row>
    <row r="90">
      <c r="A90" s="17" t="n">
        <v>1</v>
      </c>
      <c r="B90" s="18" t="inlineStr">
        <is>
          <t>Lena Kehnappel</t>
        </is>
      </c>
      <c r="C90" s="18" t="n">
        <v>2004</v>
      </c>
      <c r="D90" s="18" t="inlineStr">
        <is>
          <t>-</t>
        </is>
      </c>
      <c r="E90" s="19" t="n">
        <v>1</v>
      </c>
      <c r="F90" s="19" t="n">
        <v>1</v>
      </c>
      <c r="G90" s="20" t="n">
        <v>10.351</v>
      </c>
      <c r="H90" s="18" t="n">
        <v>45</v>
      </c>
      <c r="I90" s="20" t="n">
        <v>10.858</v>
      </c>
      <c r="J90" s="19" t="n">
        <v>40</v>
      </c>
      <c r="K90" s="20" t="n">
        <v>11.203</v>
      </c>
      <c r="L90" s="19" t="n">
        <v>40</v>
      </c>
      <c r="M90" s="20" t="n">
        <v>11.517</v>
      </c>
      <c r="N90" s="19" t="n">
        <v>45</v>
      </c>
      <c r="O90" s="21">
        <f>IF(COUNT(E90,G90,I90,K90,M90)=5,(SUM(E90,G90,I90,K90,M90)-MIN(E90,G90,I90,K90,M90)), SUM(E90,G90,I90,K90,M90))</f>
        <v/>
      </c>
      <c r="P90" s="22">
        <f>IF(COUNT(F90,H90,J90,L90,N90)=5,(SUM(F90,H90,J90,L90,N90)-MIN(F90,H90,J90,L90,N90)), SUM(F90,H90,J90,L90,N90))</f>
        <v/>
      </c>
    </row>
    <row r="91">
      <c r="A91" s="23" t="n">
        <v>2</v>
      </c>
      <c r="B91" s="24" t="inlineStr">
        <is>
          <t>Laura Schirrmeister</t>
        </is>
      </c>
      <c r="C91" s="24" t="n">
        <v>1997</v>
      </c>
      <c r="D91" s="24" t="n"/>
      <c r="E91" s="25" t="n">
        <v>10.114</v>
      </c>
      <c r="F91" s="25" t="n">
        <v>40</v>
      </c>
      <c r="G91" s="26" t="n">
        <v>9.117000000000001</v>
      </c>
      <c r="H91" s="24" t="n">
        <v>39</v>
      </c>
      <c r="I91" s="26" t="n">
        <v>9.44</v>
      </c>
      <c r="J91" s="25" t="n">
        <v>38</v>
      </c>
      <c r="K91" s="26" t="n">
        <v>9.875</v>
      </c>
      <c r="L91" s="25" t="n">
        <v>37</v>
      </c>
      <c r="M91" s="26" t="n">
        <v>10.022</v>
      </c>
      <c r="N91" s="25" t="n">
        <v>38</v>
      </c>
      <c r="O91" s="27">
        <f>IF(COUNT(E91,G91,I91,K91,M91)=6,(SUM(E91,G91,I91,K91,M91)-MIN(E91,G91,I91,K91,M91)), SUM(E91,G91,I91,K91,M91))</f>
        <v/>
      </c>
      <c r="P91" s="28">
        <f>IF(COUNT(F91,H91,J91,L91,N91)=6,(SUM(F91,H91,J91,L91,N91)-MIN(F91,H91,J91,L91,N91)), SUM(F91,H91,J91,L91,N91))</f>
        <v/>
      </c>
    </row>
    <row r="92">
      <c r="A92" s="29" t="n">
        <v>3</v>
      </c>
      <c r="B92" s="30" t="inlineStr">
        <is>
          <t>Katrin Bemowski</t>
        </is>
      </c>
      <c r="C92" s="30" t="n">
        <v>1984</v>
      </c>
      <c r="D92" s="30" t="inlineStr">
        <is>
          <t>HSG Uni Greifswald</t>
        </is>
      </c>
      <c r="E92" s="31" t="n">
        <v>13.778</v>
      </c>
      <c r="F92" s="31" t="n">
        <v>50</v>
      </c>
      <c r="G92" s="32" t="n">
        <v>14.577</v>
      </c>
      <c r="H92" s="30" t="n">
        <v>50</v>
      </c>
      <c r="I92" s="32" t="n"/>
      <c r="J92" s="31" t="n"/>
      <c r="K92" s="32" t="n"/>
      <c r="L92" s="31" t="n"/>
      <c r="M92" s="32" t="n">
        <v>14.633</v>
      </c>
      <c r="N92" s="31" t="n">
        <v>50</v>
      </c>
      <c r="O92" s="33">
        <f>IF(COUNT(E92,G92,I92,K92,M92)=7,(SUM(E92,G92,I92,K92,M92)-MIN(E92,G92,I92,K92,M92)), SUM(E92,G92,I92,K92,M92))</f>
        <v/>
      </c>
      <c r="P92" s="34">
        <f>IF(COUNT(F92,H92,J92,L92,N92)=7,(SUM(F92,H92,J92,L92,N92)-MIN(F92,H92,J92,L92,N92)), SUM(F92,H92,J92,L92,N92))</f>
        <v/>
      </c>
    </row>
    <row r="93">
      <c r="A93" s="35" t="n">
        <v>4</v>
      </c>
      <c r="B93" s="24" t="inlineStr">
        <is>
          <t>Juli Böhm</t>
        </is>
      </c>
      <c r="C93" s="24" t="n">
        <v>2000</v>
      </c>
      <c r="D93" s="24" t="n"/>
      <c r="E93" s="25" t="n"/>
      <c r="F93" s="25" t="n"/>
      <c r="G93" s="26" t="n">
        <v>9.117000000000001</v>
      </c>
      <c r="H93" s="24" t="n">
        <v>40</v>
      </c>
      <c r="I93" s="26" t="n">
        <v>9.460000000000001</v>
      </c>
      <c r="J93" s="25" t="n">
        <v>39</v>
      </c>
      <c r="K93" s="26" t="n">
        <v>10.057</v>
      </c>
      <c r="L93" s="25" t="n">
        <v>38</v>
      </c>
      <c r="M93" s="26" t="n"/>
      <c r="N93" s="25" t="n"/>
      <c r="O93" s="27">
        <f>IF(COUNT(E93,G93,I93,K93,M93)=8,(SUM(E93,G93,I93,K93,M93)-MIN(E93,G93,I93,K93,M93)), SUM(E93,G93,I93,K93,M93))</f>
        <v/>
      </c>
      <c r="P93" s="36">
        <f>IF(COUNT(F93,H93,J93,L93,N93)=8,(SUM(F93,H93,J93,L93,N93)-MIN(F93,H93,J93,L93,N93)), SUM(F93,H93,J93,L93,N93))</f>
        <v/>
      </c>
    </row>
    <row r="94">
      <c r="A94" s="35" t="n">
        <v>5</v>
      </c>
      <c r="B94" s="24" t="inlineStr">
        <is>
          <t>Mirjam Hertenstein</t>
        </is>
      </c>
      <c r="C94" s="24" t="n">
        <v>2001</v>
      </c>
      <c r="D94" s="24" t="inlineStr">
        <is>
          <t>HSG</t>
        </is>
      </c>
      <c r="E94" s="25" t="n"/>
      <c r="F94" s="25" t="n"/>
      <c r="G94" s="26" t="n"/>
      <c r="H94" s="24" t="n"/>
      <c r="I94" s="26" t="n">
        <v>12.867</v>
      </c>
      <c r="J94" s="25" t="n">
        <v>50</v>
      </c>
      <c r="K94" s="26" t="n">
        <v>12.887</v>
      </c>
      <c r="L94" s="25" t="n">
        <v>50</v>
      </c>
      <c r="M94" s="26" t="n"/>
      <c r="N94" s="25" t="n"/>
      <c r="O94" s="27">
        <f>IF(COUNT(E94,G94,I94,K94,M94)=9,(SUM(E94,G94,I94,K94,M94)-MIN(E94,G94,I94,K94,M94)), SUM(E94,G94,I94,K94,M94))</f>
        <v/>
      </c>
      <c r="P94" s="36">
        <f>IF(COUNT(F94,H94,J94,L94,N94)=9,(SUM(F94,H94,J94,L94,N94)-MIN(F94,H94,J94,L94,N94)), SUM(F94,H94,J94,L94,N94))</f>
        <v/>
      </c>
    </row>
    <row r="95">
      <c r="A95" s="35" t="n">
        <v>6</v>
      </c>
      <c r="B95" s="24" t="inlineStr">
        <is>
          <t>Dr. Antje Schlegel</t>
        </is>
      </c>
      <c r="C95" s="24" t="n">
        <v>1963</v>
      </c>
      <c r="D95" s="24" t="inlineStr">
        <is>
          <t>HSG Tennis</t>
        </is>
      </c>
      <c r="E95" s="25" t="n">
        <v>10.522</v>
      </c>
      <c r="F95" s="25" t="n">
        <v>45</v>
      </c>
      <c r="G95" s="26" t="n"/>
      <c r="H95" s="24" t="n"/>
      <c r="I95" s="26" t="n">
        <v>10.925</v>
      </c>
      <c r="J95" s="25" t="n">
        <v>45</v>
      </c>
      <c r="K95" s="26" t="n"/>
      <c r="L95" s="25" t="n"/>
      <c r="M95" s="26" t="n"/>
      <c r="N95" s="25" t="n"/>
      <c r="O95" s="27">
        <f>IF(COUNT(E95,G95,I95,K95,M95)=10,(SUM(E95,G95,I95,K95,M95)-MIN(E95,G95,I95,K95,M95)), SUM(E95,G95,I95,K95,M95))</f>
        <v/>
      </c>
      <c r="P95" s="36">
        <f>IF(COUNT(F95,H95,J95,L95,N95)=10,(SUM(F95,H95,J95,L95,N95)-MIN(F95,H95,J95,L95,N95)), SUM(F95,H95,J95,L95,N95))</f>
        <v/>
      </c>
    </row>
    <row r="96">
      <c r="A96" s="35" t="n">
        <v>7</v>
      </c>
      <c r="B96" s="24" t="inlineStr">
        <is>
          <t>Finja Wudtke</t>
        </is>
      </c>
      <c r="C96" s="24" t="n">
        <v>2011</v>
      </c>
      <c r="D96" s="24" t="inlineStr">
        <is>
          <t>HSG Kanu</t>
        </is>
      </c>
      <c r="E96" s="25" t="n">
        <v>8.166</v>
      </c>
      <c r="F96" s="25" t="n">
        <v>39</v>
      </c>
      <c r="G96" s="26" t="n"/>
      <c r="H96" s="24" t="n"/>
      <c r="I96" s="26" t="n">
        <v>8.037000000000001</v>
      </c>
      <c r="J96" s="25" t="n">
        <v>37</v>
      </c>
      <c r="K96" s="26" t="n"/>
      <c r="L96" s="25" t="n"/>
      <c r="M96" s="26" t="n"/>
      <c r="N96" s="25" t="n"/>
      <c r="O96" s="27">
        <f>IF(COUNT(E96,G96,I96,K96,M96)=11,(SUM(E96,G96,I96,K96,M96)-MIN(E96,G96,I96,K96,M96)), SUM(E96,G96,I96,K96,M96))</f>
        <v/>
      </c>
      <c r="P96" s="36">
        <f>IF(COUNT(F96,H96,J96,L96,N96)=11,(SUM(F96,H96,J96,L96,N96)-MIN(F96,H96,J96,L96,N96)), SUM(F96,H96,J96,L96,N96))</f>
        <v/>
      </c>
    </row>
    <row r="97">
      <c r="A97" s="35" t="n">
        <v>8</v>
      </c>
      <c r="B97" s="24" t="inlineStr">
        <is>
          <t>Stefanie Czinczoll</t>
        </is>
      </c>
      <c r="C97" s="24" t="n">
        <v>1980</v>
      </c>
      <c r="D97" s="24" t="inlineStr">
        <is>
          <t>Altentreptow</t>
        </is>
      </c>
      <c r="E97" s="25" t="n"/>
      <c r="F97" s="25" t="n"/>
      <c r="G97" s="26" t="n"/>
      <c r="H97" s="24" t="n"/>
      <c r="I97" s="26" t="n"/>
      <c r="J97" s="25" t="n"/>
      <c r="K97" s="26" t="n">
        <v>12.636</v>
      </c>
      <c r="L97" s="25" t="n">
        <v>45</v>
      </c>
      <c r="M97" s="26" t="n"/>
      <c r="N97" s="25" t="n"/>
      <c r="O97" s="27">
        <f>IF(COUNT(E97,G97,I97,K97,M97)=12,(SUM(E97,G97,I97,K97,M97)-MIN(E97,G97,I97,K97,M97)), SUM(E97,G97,I97,K97,M97))</f>
        <v/>
      </c>
      <c r="P97" s="36">
        <f>IF(COUNT(F97,H97,J97,L97,N97)=12,(SUM(F97,H97,J97,L97,N97)-MIN(F97,H97,J97,L97,N97)), SUM(F97,H97,J97,L97,N97))</f>
        <v/>
      </c>
    </row>
    <row r="98">
      <c r="A98" s="35" t="n">
        <v>9</v>
      </c>
      <c r="B98" s="24" t="inlineStr">
        <is>
          <t>Christina Kämmerer</t>
        </is>
      </c>
      <c r="C98" s="24" t="n">
        <v>1973</v>
      </c>
      <c r="D98" s="24" t="inlineStr">
        <is>
          <t>Laufmützen Usedom</t>
        </is>
      </c>
      <c r="E98" s="25" t="n"/>
      <c r="F98" s="25" t="n"/>
      <c r="G98" s="26" t="n"/>
      <c r="H98" s="24" t="n"/>
      <c r="I98" s="26" t="n"/>
      <c r="J98" s="25" t="n"/>
      <c r="K98" s="26" t="n"/>
      <c r="L98" s="25" t="n"/>
      <c r="M98" s="26" t="n">
        <v>10.716</v>
      </c>
      <c r="N98" s="25" t="n">
        <v>40</v>
      </c>
      <c r="O98" s="27">
        <f>IF(COUNT(E98,G98,I98,K98,M98)=13,(SUM(E98,G98,I98,K98,M98)-MIN(E98,G98,I98,K98,M98)), SUM(E98,G98,I98,K98,M98))</f>
        <v/>
      </c>
      <c r="P98" s="36">
        <f>IF(COUNT(F98,H98,J98,L98,N98)=13,(SUM(F98,H98,J98,L98,N98)-MIN(F98,H98,J98,L98,N98)), SUM(F98,H98,J98,L98,N98))</f>
        <v/>
      </c>
    </row>
    <row r="99">
      <c r="A99" s="35" t="n">
        <v>10</v>
      </c>
      <c r="B99" s="24" t="inlineStr">
        <is>
          <t>Dr. Antje Schlegel</t>
        </is>
      </c>
      <c r="C99" s="24" t="n">
        <v>1963</v>
      </c>
      <c r="D99" s="24" t="inlineStr">
        <is>
          <t>HSG Tennis</t>
        </is>
      </c>
      <c r="E99" s="25" t="n"/>
      <c r="F99" s="25" t="n"/>
      <c r="G99" s="26" t="n"/>
      <c r="H99" s="24" t="n"/>
      <c r="I99" s="26" t="n"/>
      <c r="J99" s="25" t="n"/>
      <c r="K99" s="26" t="n">
        <v>10.851</v>
      </c>
      <c r="L99" s="25" t="n">
        <v>39</v>
      </c>
      <c r="M99" s="26" t="n"/>
      <c r="N99" s="25" t="n"/>
      <c r="O99" s="27">
        <f>IF(COUNT(E99,G99,I99,K99,M99)=14,(SUM(E99,G99,I99,K99,M99)-MIN(E99,G99,I99,K99,M99)), SUM(E99,G99,I99,K99,M99))</f>
        <v/>
      </c>
      <c r="P99" s="36">
        <f>IF(COUNT(F99,H99,J99,L99,N99)=14,(SUM(F99,H99,J99,L99,N99)-MIN(F99,H99,J99,L99,N99)), SUM(F99,H99,J99,L99,N99))</f>
        <v/>
      </c>
    </row>
    <row r="100">
      <c r="A100" s="35" t="n">
        <v>11</v>
      </c>
      <c r="B100" s="24" t="inlineStr">
        <is>
          <t>Christina Ryll</t>
        </is>
      </c>
      <c r="C100" s="24" t="n">
        <v>1972</v>
      </c>
      <c r="D100" s="24" t="inlineStr">
        <is>
          <t>Laufmützen Usedom</t>
        </is>
      </c>
      <c r="E100" s="25" t="n"/>
      <c r="F100" s="25" t="n"/>
      <c r="G100" s="26" t="n"/>
      <c r="H100" s="24" t="n"/>
      <c r="I100" s="26" t="n"/>
      <c r="J100" s="25" t="n"/>
      <c r="K100" s="26" t="n"/>
      <c r="L100" s="25" t="n"/>
      <c r="M100" s="26" t="n">
        <v>10.715</v>
      </c>
      <c r="N100" s="25" t="n">
        <v>39</v>
      </c>
      <c r="O100" s="27">
        <f>IF(COUNT(E100,G100,I100,K100,M100)=15,(SUM(E100,G100,I100,K100,M100)-MIN(E100,G100,I100,K100,M100)), SUM(E100,G100,I100,K100,M100))</f>
        <v/>
      </c>
      <c r="P100" s="36">
        <f>IF(COUNT(F100,H100,J100,L100,N100)=15,(SUM(F100,H100,J100,L100,N100)-MIN(F100,H100,J100,L100,N100)), SUM(F100,H100,J100,L100,N100))</f>
        <v/>
      </c>
    </row>
    <row r="101">
      <c r="A101" s="35" t="n">
        <v>12</v>
      </c>
      <c r="B101" s="24" t="inlineStr">
        <is>
          <t>Alexandra Reinhold</t>
        </is>
      </c>
      <c r="C101" s="24" t="n">
        <v>1993</v>
      </c>
      <c r="D101" s="24" t="inlineStr">
        <is>
          <t>Hanse-Kinder Sportverein</t>
        </is>
      </c>
      <c r="E101" s="25" t="n"/>
      <c r="F101" s="25" t="n"/>
      <c r="G101" s="26" t="n">
        <v>7.862</v>
      </c>
      <c r="H101" s="24" t="n">
        <v>38</v>
      </c>
      <c r="I101" s="26" t="n"/>
      <c r="J101" s="25" t="n"/>
      <c r="K101" s="26" t="n"/>
      <c r="L101" s="25" t="n"/>
      <c r="M101" s="26" t="n"/>
      <c r="N101" s="25" t="n"/>
      <c r="O101" s="27">
        <f>IF(COUNT(E101,G101,I101,K101,M101)=16,(SUM(E101,G101,I101,K101,M101)-MIN(E101,G101,I101,K101,M101)), SUM(E101,G101,I101,K101,M101))</f>
        <v/>
      </c>
      <c r="P101" s="36">
        <f>IF(COUNT(F101,H101,J101,L101,N101)=16,(SUM(F101,H101,J101,L101,N101)-MIN(F101,H101,J101,L101,N101)), SUM(F101,H101,J101,L101,N101))</f>
        <v/>
      </c>
    </row>
    <row r="102">
      <c r="A102" s="35" t="n">
        <v>13</v>
      </c>
      <c r="B102" s="24" t="inlineStr">
        <is>
          <t>Lisa Hennig</t>
        </is>
      </c>
      <c r="C102" s="24" t="n">
        <v>1988</v>
      </c>
      <c r="D102" s="24" t="inlineStr">
        <is>
          <t>Hanse-Kinder Sportverein</t>
        </is>
      </c>
      <c r="E102" s="25" t="n"/>
      <c r="F102" s="25" t="n"/>
      <c r="G102" s="26" t="n">
        <v>7.862</v>
      </c>
      <c r="H102" s="24" t="n">
        <v>37</v>
      </c>
      <c r="I102" s="26" t="n"/>
      <c r="J102" s="25" t="n"/>
      <c r="K102" s="26" t="n"/>
      <c r="L102" s="25" t="n"/>
      <c r="M102" s="26" t="n"/>
      <c r="N102" s="25" t="n"/>
      <c r="O102" s="27">
        <f>IF(COUNT(E102,G102,I102,K102,M102)=17,(SUM(E102,G102,I102,K102,M102)-MIN(E102,G102,I102,K102,M102)), SUM(E102,G102,I102,K102,M102))</f>
        <v/>
      </c>
      <c r="P102" s="36">
        <f>IF(COUNT(F102,H102,J102,L102,N102)=17,(SUM(F102,H102,J102,L102,N102)-MIN(F102,H102,J102,L102,N102)), SUM(F102,H102,J102,L102,N102))</f>
        <v/>
      </c>
    </row>
    <row r="103">
      <c r="A103" s="35" t="n">
        <v>14</v>
      </c>
      <c r="B103" s="24" t="inlineStr">
        <is>
          <t>Katja Tremmel</t>
        </is>
      </c>
      <c r="C103" s="24" t="n">
        <v>1980</v>
      </c>
      <c r="D103" s="24" t="inlineStr">
        <is>
          <t>Laufmützen Usedom</t>
        </is>
      </c>
      <c r="E103" s="25" t="n"/>
      <c r="F103" s="25" t="n"/>
      <c r="G103" s="26" t="n"/>
      <c r="H103" s="24" t="n"/>
      <c r="I103" s="26" t="n"/>
      <c r="J103" s="25" t="n"/>
      <c r="K103" s="26" t="n">
        <v>9.847</v>
      </c>
      <c r="L103" s="25" t="n">
        <v>36</v>
      </c>
      <c r="M103" s="26" t="n"/>
      <c r="N103" s="25" t="n"/>
      <c r="O103" s="27">
        <f>IF(COUNT(E103,G103,I103,K103,M103)=18,(SUM(E103,G103,I103,K103,M103)-MIN(E103,G103,I103,K103,M103)), SUM(E103,G103,I103,K103,M103))</f>
        <v/>
      </c>
      <c r="P103" s="36">
        <f>IF(COUNT(F103,H103,J103,L103,N103)=18,(SUM(F103,H103,J103,L103,N103)-MIN(F103,H103,J103,L103,N103)), SUM(F103,H103,J103,L103,N103))</f>
        <v/>
      </c>
    </row>
    <row r="104">
      <c r="A104" s="35" t="n">
        <v>15</v>
      </c>
      <c r="B104" s="24" t="inlineStr">
        <is>
          <t>Hanna Rogge</t>
        </is>
      </c>
      <c r="C104" s="24" t="n">
        <v>2000</v>
      </c>
      <c r="D104" s="24" t="inlineStr">
        <is>
          <t>-</t>
        </is>
      </c>
      <c r="E104" s="25" t="n"/>
      <c r="F104" s="25" t="n"/>
      <c r="G104" s="26" t="n"/>
      <c r="H104" s="24" t="n"/>
      <c r="I104" s="26" t="n"/>
      <c r="J104" s="25" t="n"/>
      <c r="K104" s="26" t="n">
        <v>8.890000000000001</v>
      </c>
      <c r="L104" s="25" t="n">
        <v>35</v>
      </c>
      <c r="M104" s="26" t="n"/>
      <c r="N104" s="25" t="n"/>
      <c r="O104" s="27">
        <f>IF(COUNT(E104,G104,I104,K104,M104)=19,(SUM(E104,G104,I104,K104,M104)-MIN(E104,G104,I104,K104,M104)), SUM(E104,G104,I104,K104,M104))</f>
        <v/>
      </c>
      <c r="P104" s="36">
        <f>IF(COUNT(F104,H104,J104,L104,N104)=19,(SUM(F104,H104,J104,L104,N104)-MIN(F104,H104,J104,L104,N104)), SUM(F104,H104,J104,L104,N104))</f>
        <v/>
      </c>
    </row>
    <row r="105">
      <c r="A105" s="35" t="n">
        <v>16</v>
      </c>
      <c r="B105" s="24" t="inlineStr">
        <is>
          <t>Sanne Berns</t>
        </is>
      </c>
      <c r="C105" s="24" t="n">
        <v>2006</v>
      </c>
      <c r="D105" s="24" t="inlineStr">
        <is>
          <t>Monte</t>
        </is>
      </c>
      <c r="E105" s="25" t="n"/>
      <c r="F105" s="25" t="n"/>
      <c r="G105" s="26" t="n"/>
      <c r="H105" s="24" t="n"/>
      <c r="I105" s="26" t="n"/>
      <c r="J105" s="25" t="n"/>
      <c r="K105" s="26" t="n">
        <v>5.322</v>
      </c>
      <c r="L105" s="25" t="n">
        <v>34</v>
      </c>
      <c r="M105" s="26" t="n"/>
      <c r="N105" s="25" t="n"/>
      <c r="O105" s="27">
        <f>IF(COUNT(E105,G105,I105,K105,M105)=20,(SUM(E105,G105,I105,K105,M105)-MIN(E105,G105,I105,K105,M105)), SUM(E105,G105,I105,K105,M105))</f>
        <v/>
      </c>
      <c r="P105" s="36">
        <f>IF(COUNT(F105,H105,J105,L105,N105)=20,(SUM(F105,H105,J105,L105,N105)-MIN(F105,H105,J105,L105,N105)), SUM(F105,H105,J105,L105,N105))</f>
        <v/>
      </c>
    </row>
    <row r="107">
      <c r="A107" s="1" t="inlineStr">
        <is>
          <t>4. Einstundenlauf - M</t>
        </is>
      </c>
      <c r="E107" s="2" t="n"/>
      <c r="F107" s="3" t="n"/>
      <c r="G107" s="3" t="n"/>
      <c r="H107" s="3" t="n"/>
      <c r="I107" s="3" t="n"/>
      <c r="J107" s="3" t="n"/>
      <c r="K107" s="2" t="n"/>
      <c r="L107" s="3" t="n"/>
      <c r="M107" s="3" t="n"/>
      <c r="N107" s="3" t="n"/>
    </row>
    <row r="108">
      <c r="A108" s="4" t="n"/>
      <c r="B108" s="3" t="n"/>
      <c r="C108" s="3" t="n"/>
      <c r="D108" s="3" t="n"/>
      <c r="E108" s="5" t="inlineStr">
        <is>
          <t>1. Lauf</t>
        </is>
      </c>
      <c r="F108" s="6" t="n"/>
      <c r="G108" s="7" t="inlineStr">
        <is>
          <t>2. Lauf</t>
        </is>
      </c>
      <c r="H108" s="6" t="n"/>
      <c r="I108" s="7" t="inlineStr">
        <is>
          <t>3. Lauf</t>
        </is>
      </c>
      <c r="J108" s="6" t="n"/>
      <c r="K108" s="5" t="inlineStr">
        <is>
          <t>4. Lauf</t>
        </is>
      </c>
      <c r="L108" s="6" t="n"/>
      <c r="M108" s="7" t="inlineStr">
        <is>
          <t>5. Lauf</t>
        </is>
      </c>
      <c r="N108" s="6" t="n"/>
      <c r="O108" s="7" t="inlineStr">
        <is>
          <t>Gesamt</t>
        </is>
      </c>
      <c r="P108" s="6" t="n"/>
    </row>
    <row r="109">
      <c r="A109" s="8" t="inlineStr">
        <is>
          <t>Platz</t>
        </is>
      </c>
      <c r="B109" s="8" t="inlineStr">
        <is>
          <t>Vorname/Name</t>
        </is>
      </c>
      <c r="C109" s="9" t="inlineStr">
        <is>
          <t>Jg.</t>
        </is>
      </c>
      <c r="D109" s="8" t="inlineStr">
        <is>
          <t>Verein</t>
        </is>
      </c>
      <c r="E109" s="10" t="inlineStr">
        <is>
          <t>Laufstr.</t>
        </is>
      </c>
      <c r="F109" s="8" t="inlineStr">
        <is>
          <t>Wertung</t>
        </is>
      </c>
      <c r="G109" s="8" t="inlineStr">
        <is>
          <t>Laufstr.</t>
        </is>
      </c>
      <c r="H109" s="8" t="inlineStr">
        <is>
          <t>Wertung</t>
        </is>
      </c>
      <c r="I109" s="8" t="inlineStr">
        <is>
          <t>Laufstr.</t>
        </is>
      </c>
      <c r="J109" s="8" t="inlineStr">
        <is>
          <t>Wertung</t>
        </is>
      </c>
      <c r="K109" s="10" t="inlineStr">
        <is>
          <t>Laufstr.</t>
        </is>
      </c>
      <c r="L109" s="8" t="inlineStr">
        <is>
          <t>Wertung</t>
        </is>
      </c>
      <c r="M109" s="8" t="inlineStr">
        <is>
          <t>Laufstr.</t>
        </is>
      </c>
      <c r="N109" s="8" t="inlineStr">
        <is>
          <t>Wertung</t>
        </is>
      </c>
      <c r="O109" s="10" t="inlineStr">
        <is>
          <t>Laufstr.</t>
        </is>
      </c>
      <c r="P109" s="8" t="inlineStr">
        <is>
          <t>Wertung</t>
        </is>
      </c>
    </row>
    <row r="110">
      <c r="A110" s="11" t="n"/>
      <c r="B110" s="12" t="n"/>
      <c r="C110" s="13" t="n"/>
      <c r="D110" s="12" t="n"/>
      <c r="E110" s="11" t="inlineStr">
        <is>
          <t>(km)</t>
        </is>
      </c>
      <c r="F110" s="11" t="inlineStr">
        <is>
          <t>(Punkte)</t>
        </is>
      </c>
      <c r="G110" s="11" t="inlineStr">
        <is>
          <t>(km)</t>
        </is>
      </c>
      <c r="H110" s="11" t="inlineStr">
        <is>
          <t>(Punkte)</t>
        </is>
      </c>
      <c r="I110" s="11" t="inlineStr">
        <is>
          <t>(km)</t>
        </is>
      </c>
      <c r="J110" s="11" t="inlineStr">
        <is>
          <t>(Punkte)</t>
        </is>
      </c>
      <c r="K110" s="14" t="inlineStr">
        <is>
          <t>(km)</t>
        </is>
      </c>
      <c r="L110" s="15" t="inlineStr">
        <is>
          <t>(Punkte)</t>
        </is>
      </c>
      <c r="M110" s="11" t="inlineStr">
        <is>
          <t>(km)</t>
        </is>
      </c>
      <c r="N110" s="11" t="inlineStr">
        <is>
          <t>(Punkte)</t>
        </is>
      </c>
      <c r="O110" s="16" t="inlineStr">
        <is>
          <t>(km)</t>
        </is>
      </c>
      <c r="P110" s="15" t="inlineStr">
        <is>
          <t>(Punkte)</t>
        </is>
      </c>
    </row>
    <row r="111">
      <c r="A111" s="17" t="n">
        <v>1</v>
      </c>
      <c r="B111" s="18" t="inlineStr">
        <is>
          <t>Rick Mokosch</t>
        </is>
      </c>
      <c r="C111" s="18" t="n">
        <v>1987</v>
      </c>
      <c r="D111" s="18" t="inlineStr">
        <is>
          <t>HSG Uni Greifswald</t>
        </is>
      </c>
      <c r="E111" s="19" t="n">
        <v>15.413</v>
      </c>
      <c r="F111" s="19" t="n">
        <v>50</v>
      </c>
      <c r="G111" s="20" t="n">
        <v>15.119</v>
      </c>
      <c r="H111" s="18" t="n">
        <v>50</v>
      </c>
      <c r="I111" s="20" t="n">
        <v>1</v>
      </c>
      <c r="J111" s="19" t="n">
        <v>1</v>
      </c>
      <c r="K111" s="20" t="n">
        <v>15.373</v>
      </c>
      <c r="L111" s="19" t="n">
        <v>40</v>
      </c>
      <c r="M111" s="20" t="n">
        <v>14.698</v>
      </c>
      <c r="N111" s="19" t="n">
        <v>45</v>
      </c>
      <c r="O111" s="21">
        <f>IF(COUNT(E111,G111,I111,K111,M111)=5,(SUM(E111,G111,I111,K111,M111)-MIN(E111,G111,I111,K111,M111)), SUM(E111,G111,I111,K111,M111))</f>
        <v/>
      </c>
      <c r="P111" s="22">
        <f>IF(COUNT(F111,H111,J111,L111,N111)=5,(SUM(F111,H111,J111,L111,N111)-MIN(F111,H111,J111,L111,N111)), SUM(F111,H111,J111,L111,N111))</f>
        <v/>
      </c>
    </row>
    <row r="112">
      <c r="A112" s="23" t="n">
        <v>2</v>
      </c>
      <c r="B112" s="24" t="inlineStr">
        <is>
          <t>Mirko Bleyl</t>
        </is>
      </c>
      <c r="C112" s="24" t="n">
        <v>1977</v>
      </c>
      <c r="D112" s="24" t="inlineStr">
        <is>
          <t>Laufmützen Usedom</t>
        </is>
      </c>
      <c r="E112" s="25" t="n">
        <v>13.432</v>
      </c>
      <c r="F112" s="25" t="n">
        <v>40</v>
      </c>
      <c r="G112" s="26" t="n">
        <v>13.752</v>
      </c>
      <c r="H112" s="24" t="n">
        <v>40</v>
      </c>
      <c r="I112" s="26" t="n">
        <v>13.711</v>
      </c>
      <c r="J112" s="25" t="n">
        <v>45</v>
      </c>
      <c r="K112" s="26" t="n">
        <v>13.226</v>
      </c>
      <c r="L112" s="25" t="n">
        <v>38</v>
      </c>
      <c r="M112" s="26" t="n"/>
      <c r="N112" s="25" t="n"/>
      <c r="O112" s="27">
        <f>IF(COUNT(E112,G112,I112,K112,M112)=6,(SUM(E112,G112,I112,K112,M112)-MIN(E112,G112,I112,K112,M112)), SUM(E112,G112,I112,K112,M112))</f>
        <v/>
      </c>
      <c r="P112" s="28">
        <f>IF(COUNT(F112,H112,J112,L112,N112)=6,(SUM(F112,H112,J112,L112,N112)-MIN(F112,H112,J112,L112,N112)), SUM(F112,H112,J112,L112,N112))</f>
        <v/>
      </c>
    </row>
    <row r="113">
      <c r="A113" s="29" t="n">
        <v>3</v>
      </c>
      <c r="B113" s="30" t="inlineStr">
        <is>
          <t>Marcel Klein</t>
        </is>
      </c>
      <c r="C113" s="30" t="n">
        <v>1979</v>
      </c>
      <c r="D113" s="30" t="inlineStr">
        <is>
          <t>Laufmützen Usedom</t>
        </is>
      </c>
      <c r="E113" s="31" t="n"/>
      <c r="F113" s="31" t="n"/>
      <c r="G113" s="32" t="n">
        <v>13.485</v>
      </c>
      <c r="H113" s="30" t="n">
        <v>39</v>
      </c>
      <c r="I113" s="32" t="n">
        <v>13.446</v>
      </c>
      <c r="J113" s="31" t="n">
        <v>40</v>
      </c>
      <c r="K113" s="32" t="n">
        <v>14.08</v>
      </c>
      <c r="L113" s="31" t="n">
        <v>39</v>
      </c>
      <c r="M113" s="32" t="n">
        <v>9.989000000000001</v>
      </c>
      <c r="N113" s="31" t="n">
        <v>37</v>
      </c>
      <c r="O113" s="33">
        <f>IF(COUNT(E113,G113,I113,K113,M113)=7,(SUM(E113,G113,I113,K113,M113)-MIN(E113,G113,I113,K113,M113)), SUM(E113,G113,I113,K113,M113))</f>
        <v/>
      </c>
      <c r="P113" s="34">
        <f>IF(COUNT(F113,H113,J113,L113,N113)=7,(SUM(F113,H113,J113,L113,N113)-MIN(F113,H113,J113,L113,N113)), SUM(F113,H113,J113,L113,N113))</f>
        <v/>
      </c>
    </row>
    <row r="114">
      <c r="A114" s="35" t="n">
        <v>4</v>
      </c>
      <c r="B114" s="24" t="inlineStr">
        <is>
          <t>Marten Lifson</t>
        </is>
      </c>
      <c r="C114" s="24" t="n">
        <v>1986</v>
      </c>
      <c r="D114" s="24" t="inlineStr">
        <is>
          <t>HSG Radsport</t>
        </is>
      </c>
      <c r="E114" s="25" t="n">
        <v>12.851</v>
      </c>
      <c r="F114" s="25" t="n">
        <v>39</v>
      </c>
      <c r="G114" s="26" t="n">
        <v>11.8</v>
      </c>
      <c r="H114" s="24" t="n">
        <v>35</v>
      </c>
      <c r="I114" s="26" t="n">
        <v>12.058</v>
      </c>
      <c r="J114" s="25" t="n">
        <v>34</v>
      </c>
      <c r="K114" s="26" t="n">
        <v>12.662</v>
      </c>
      <c r="L114" s="25" t="n">
        <v>36</v>
      </c>
      <c r="M114" s="26" t="n">
        <v>12.183</v>
      </c>
      <c r="N114" s="25" t="n">
        <v>40</v>
      </c>
      <c r="O114" s="27">
        <f>IF(COUNT(E114,G114,I114,K114,M114)=8,(SUM(E114,G114,I114,K114,M114)-MIN(E114,G114,I114,K114,M114)), SUM(E114,G114,I114,K114,M114))</f>
        <v/>
      </c>
      <c r="P114" s="36">
        <f>IF(COUNT(F114,H114,J114,L114,N114)=8,(SUM(F114,H114,J114,L114,N114)-MIN(F114,H114,J114,L114,N114)), SUM(F114,H114,J114,L114,N114))</f>
        <v/>
      </c>
    </row>
    <row r="115">
      <c r="A115" s="35" t="n">
        <v>5</v>
      </c>
      <c r="B115" s="24" t="inlineStr">
        <is>
          <t>Johannes Schweder</t>
        </is>
      </c>
      <c r="C115" s="24" t="n">
        <v>1996</v>
      </c>
      <c r="D115" s="24" t="inlineStr">
        <is>
          <t>-</t>
        </is>
      </c>
      <c r="E115" s="25" t="n"/>
      <c r="F115" s="25" t="n"/>
      <c r="G115" s="26" t="n"/>
      <c r="H115" s="24" t="n"/>
      <c r="I115" s="26" t="n">
        <v>15.454</v>
      </c>
      <c r="J115" s="25" t="n">
        <v>50</v>
      </c>
      <c r="K115" s="26" t="n">
        <v>15.689</v>
      </c>
      <c r="L115" s="25" t="n">
        <v>45</v>
      </c>
      <c r="M115" s="26" t="n">
        <v>15.877</v>
      </c>
      <c r="N115" s="25" t="n">
        <v>50</v>
      </c>
      <c r="O115" s="27">
        <f>IF(COUNT(E115,G115,I115,K115,M115)=9,(SUM(E115,G115,I115,K115,M115)-MIN(E115,G115,I115,K115,M115)), SUM(E115,G115,I115,K115,M115))</f>
        <v/>
      </c>
      <c r="P115" s="36">
        <f>IF(COUNT(F115,H115,J115,L115,N115)=9,(SUM(F115,H115,J115,L115,N115)-MIN(F115,H115,J115,L115,N115)), SUM(F115,H115,J115,L115,N115))</f>
        <v/>
      </c>
    </row>
    <row r="116">
      <c r="A116" s="35" t="n">
        <v>6</v>
      </c>
      <c r="B116" s="24" t="inlineStr">
        <is>
          <t>Ralf Methling</t>
        </is>
      </c>
      <c r="C116" s="24" t="n">
        <v>1970</v>
      </c>
      <c r="D116" s="24" t="inlineStr">
        <is>
          <t>INP</t>
        </is>
      </c>
      <c r="E116" s="25" t="n">
        <v>11.925</v>
      </c>
      <c r="F116" s="25" t="n">
        <v>35</v>
      </c>
      <c r="G116" s="26" t="n">
        <v>10.546</v>
      </c>
      <c r="H116" s="24" t="n">
        <v>30</v>
      </c>
      <c r="I116" s="26" t="n">
        <v>12.462</v>
      </c>
      <c r="J116" s="25" t="n">
        <v>37</v>
      </c>
      <c r="K116" s="26" t="n"/>
      <c r="L116" s="25" t="n"/>
      <c r="M116" s="26" t="n">
        <v>11.805</v>
      </c>
      <c r="N116" s="25" t="n">
        <v>39</v>
      </c>
      <c r="O116" s="27">
        <f>IF(COUNT(E116,G116,I116,K116,M116)=10,(SUM(E116,G116,I116,K116,M116)-MIN(E116,G116,I116,K116,M116)), SUM(E116,G116,I116,K116,M116))</f>
        <v/>
      </c>
      <c r="P116" s="36">
        <f>IF(COUNT(F116,H116,J116,L116,N116)=10,(SUM(F116,H116,J116,L116,N116)-MIN(F116,H116,J116,L116,N116)), SUM(F116,H116,J116,L116,N116))</f>
        <v/>
      </c>
    </row>
    <row r="117">
      <c r="A117" s="35" t="n">
        <v>7</v>
      </c>
      <c r="B117" s="24" t="inlineStr">
        <is>
          <t>Hartmut Kirsch</t>
        </is>
      </c>
      <c r="C117" s="24" t="n">
        <v>1958</v>
      </c>
      <c r="D117" s="24" t="inlineStr">
        <is>
          <t>Weinbergschnecken</t>
        </is>
      </c>
      <c r="E117" s="25" t="n">
        <v>10.352</v>
      </c>
      <c r="F117" s="25" t="n">
        <v>32</v>
      </c>
      <c r="G117" s="26" t="n">
        <v>11.002</v>
      </c>
      <c r="H117" s="24" t="n">
        <v>33</v>
      </c>
      <c r="I117" s="26" t="n">
        <v>11.05</v>
      </c>
      <c r="J117" s="25" t="n">
        <v>33</v>
      </c>
      <c r="K117" s="26" t="n">
        <v>10.727</v>
      </c>
      <c r="L117" s="25" t="n">
        <v>31</v>
      </c>
      <c r="M117" s="26" t="n"/>
      <c r="N117" s="25" t="n"/>
      <c r="O117" s="27">
        <f>IF(COUNT(E117,G117,I117,K117,M117)=11,(SUM(E117,G117,I117,K117,M117)-MIN(E117,G117,I117,K117,M117)), SUM(E117,G117,I117,K117,M117))</f>
        <v/>
      </c>
      <c r="P117" s="36">
        <f>IF(COUNT(F117,H117,J117,L117,N117)=11,(SUM(F117,H117,J117,L117,N117)-MIN(F117,H117,J117,L117,N117)), SUM(F117,H117,J117,L117,N117))</f>
        <v/>
      </c>
    </row>
    <row r="118">
      <c r="A118" s="35" t="n">
        <v>8</v>
      </c>
      <c r="B118" s="24" t="inlineStr">
        <is>
          <t>Eric Winkler</t>
        </is>
      </c>
      <c r="C118" s="24" t="n">
        <v>1985</v>
      </c>
      <c r="D118" s="24" t="inlineStr">
        <is>
          <t>-</t>
        </is>
      </c>
      <c r="E118" s="25" t="n">
        <v>14.071</v>
      </c>
      <c r="F118" s="25" t="n">
        <v>45</v>
      </c>
      <c r="G118" s="26" t="n">
        <v>15.051</v>
      </c>
      <c r="H118" s="24" t="n">
        <v>45</v>
      </c>
      <c r="I118" s="26" t="n"/>
      <c r="J118" s="25" t="n"/>
      <c r="K118" s="26" t="n">
        <v>12.963</v>
      </c>
      <c r="L118" s="25" t="n">
        <v>37</v>
      </c>
      <c r="M118" s="26" t="n"/>
      <c r="N118" s="25" t="n"/>
      <c r="O118" s="27">
        <f>IF(COUNT(E118,G118,I118,K118,M118)=12,(SUM(E118,G118,I118,K118,M118)-MIN(E118,G118,I118,K118,M118)), SUM(E118,G118,I118,K118,M118))</f>
        <v/>
      </c>
      <c r="P118" s="36">
        <f>IF(COUNT(F118,H118,J118,L118,N118)=12,(SUM(F118,H118,J118,L118,N118)-MIN(F118,H118,J118,L118,N118)), SUM(F118,H118,J118,L118,N118))</f>
        <v/>
      </c>
    </row>
    <row r="119">
      <c r="A119" s="35" t="n">
        <v>9</v>
      </c>
      <c r="B119" s="24" t="inlineStr">
        <is>
          <t>Jens Stein</t>
        </is>
      </c>
      <c r="C119" s="24" t="n">
        <v>1963</v>
      </c>
      <c r="D119" s="24" t="inlineStr">
        <is>
          <t>JD Running</t>
        </is>
      </c>
      <c r="E119" s="25" t="n">
        <v>12.77</v>
      </c>
      <c r="F119" s="25" t="n">
        <v>38</v>
      </c>
      <c r="G119" s="26" t="n">
        <v>12.897</v>
      </c>
      <c r="H119" s="24" t="n">
        <v>36</v>
      </c>
      <c r="I119" s="26" t="n">
        <v>13.252</v>
      </c>
      <c r="J119" s="25" t="n">
        <v>39</v>
      </c>
      <c r="K119" s="26" t="n"/>
      <c r="L119" s="25" t="n"/>
      <c r="M119" s="26" t="n"/>
      <c r="N119" s="25" t="n"/>
      <c r="O119" s="27">
        <f>IF(COUNT(E119,G119,I119,K119,M119)=13,(SUM(E119,G119,I119,K119,M119)-MIN(E119,G119,I119,K119,M119)), SUM(E119,G119,I119,K119,M119))</f>
        <v/>
      </c>
      <c r="P119" s="36">
        <f>IF(COUNT(F119,H119,J119,L119,N119)=13,(SUM(F119,H119,J119,L119,N119)-MIN(F119,H119,J119,L119,N119)), SUM(F119,H119,J119,L119,N119))</f>
        <v/>
      </c>
    </row>
    <row r="120">
      <c r="A120" s="35" t="n">
        <v>10</v>
      </c>
      <c r="B120" s="24" t="inlineStr">
        <is>
          <t>Ronny Dick</t>
        </is>
      </c>
      <c r="C120" s="24" t="n">
        <v>1982</v>
      </c>
      <c r="D120" s="24" t="inlineStr">
        <is>
          <t>HSG</t>
        </is>
      </c>
      <c r="E120" s="25" t="n">
        <v>12.12</v>
      </c>
      <c r="F120" s="25" t="n">
        <v>36</v>
      </c>
      <c r="G120" s="26" t="n">
        <v>13.01</v>
      </c>
      <c r="H120" s="24" t="n">
        <v>37</v>
      </c>
      <c r="I120" s="26" t="n">
        <v>13.077</v>
      </c>
      <c r="J120" s="25" t="n">
        <v>38</v>
      </c>
      <c r="K120" s="26" t="n"/>
      <c r="L120" s="25" t="n"/>
      <c r="M120" s="26" t="n"/>
      <c r="N120" s="25" t="n"/>
      <c r="O120" s="27">
        <f>IF(COUNT(E120,G120,I120,K120,M120)=14,(SUM(E120,G120,I120,K120,M120)-MIN(E120,G120,I120,K120,M120)), SUM(E120,G120,I120,K120,M120))</f>
        <v/>
      </c>
      <c r="P120" s="36">
        <f>IF(COUNT(F120,H120,J120,L120,N120)=14,(SUM(F120,H120,J120,L120,N120)-MIN(F120,H120,J120,L120,N120)), SUM(F120,H120,J120,L120,N120))</f>
        <v/>
      </c>
    </row>
    <row r="121">
      <c r="A121" s="35" t="n">
        <v>11</v>
      </c>
      <c r="B121" s="24" t="inlineStr">
        <is>
          <t>Georg Kirsch</t>
        </is>
      </c>
      <c r="C121" s="24" t="n">
        <v>1991</v>
      </c>
      <c r="D121" s="24" t="inlineStr">
        <is>
          <t>Weinbergschnecken</t>
        </is>
      </c>
      <c r="E121" s="25" t="n">
        <v>11.595</v>
      </c>
      <c r="F121" s="25" t="n">
        <v>34</v>
      </c>
      <c r="G121" s="26" t="n"/>
      <c r="H121" s="24" t="n"/>
      <c r="I121" s="26" t="n">
        <v>11.042</v>
      </c>
      <c r="J121" s="25" t="n">
        <v>32</v>
      </c>
      <c r="K121" s="26" t="n">
        <v>11.553</v>
      </c>
      <c r="L121" s="25" t="n">
        <v>34</v>
      </c>
      <c r="M121" s="26" t="n"/>
      <c r="N121" s="25" t="n"/>
      <c r="O121" s="27">
        <f>IF(COUNT(E121,G121,I121,K121,M121)=15,(SUM(E121,G121,I121,K121,M121)-MIN(E121,G121,I121,K121,M121)), SUM(E121,G121,I121,K121,M121))</f>
        <v/>
      </c>
      <c r="P121" s="36">
        <f>IF(COUNT(F121,H121,J121,L121,N121)=15,(SUM(F121,H121,J121,L121,N121)-MIN(F121,H121,J121,L121,N121)), SUM(F121,H121,J121,L121,N121))</f>
        <v/>
      </c>
    </row>
    <row r="122">
      <c r="A122" s="35" t="n">
        <v>12</v>
      </c>
      <c r="B122" s="24" t="inlineStr">
        <is>
          <t>Steffen Kahl</t>
        </is>
      </c>
      <c r="C122" s="24" t="n">
        <v>1963</v>
      </c>
      <c r="D122" s="24" t="n"/>
      <c r="E122" s="25" t="n"/>
      <c r="F122" s="25" t="n"/>
      <c r="G122" s="26" t="n">
        <v>10.711</v>
      </c>
      <c r="H122" s="24" t="n">
        <v>31</v>
      </c>
      <c r="I122" s="26" t="n">
        <v>10.572</v>
      </c>
      <c r="J122" s="25" t="n">
        <v>31</v>
      </c>
      <c r="K122" s="26" t="n">
        <v>11.152</v>
      </c>
      <c r="L122" s="25" t="n">
        <v>33</v>
      </c>
      <c r="M122" s="26" t="n"/>
      <c r="N122" s="25" t="n"/>
      <c r="O122" s="27">
        <f>IF(COUNT(E122,G122,I122,K122,M122)=16,(SUM(E122,G122,I122,K122,M122)-MIN(E122,G122,I122,K122,M122)), SUM(E122,G122,I122,K122,M122))</f>
        <v/>
      </c>
      <c r="P122" s="36">
        <f>IF(COUNT(F122,H122,J122,L122,N122)=16,(SUM(F122,H122,J122,L122,N122)-MIN(F122,H122,J122,L122,N122)), SUM(F122,H122,J122,L122,N122))</f>
        <v/>
      </c>
    </row>
    <row r="123">
      <c r="A123" s="35" t="n">
        <v>13</v>
      </c>
      <c r="B123" s="24" t="inlineStr">
        <is>
          <t>Rico Harder</t>
        </is>
      </c>
      <c r="C123" s="24" t="n">
        <v>1975</v>
      </c>
      <c r="D123" s="24" t="inlineStr">
        <is>
          <t>Laufmützen Usedom</t>
        </is>
      </c>
      <c r="E123" s="25" t="n">
        <v>10.957</v>
      </c>
      <c r="F123" s="25" t="n">
        <v>33</v>
      </c>
      <c r="G123" s="26" t="n">
        <v>11.09</v>
      </c>
      <c r="H123" s="24" t="n">
        <v>34</v>
      </c>
      <c r="I123" s="26" t="n"/>
      <c r="J123" s="25" t="n"/>
      <c r="K123" s="26" t="n"/>
      <c r="L123" s="25" t="n"/>
      <c r="M123" s="26" t="n"/>
      <c r="N123" s="25" t="n"/>
      <c r="O123" s="27">
        <f>IF(COUNT(E123,G123,I123,K123,M123)=17,(SUM(E123,G123,I123,K123,M123)-MIN(E123,G123,I123,K123,M123)), SUM(E123,G123,I123,K123,M123))</f>
        <v/>
      </c>
      <c r="P123" s="36">
        <f>IF(COUNT(F123,H123,J123,L123,N123)=17,(SUM(F123,H123,J123,L123,N123)-MIN(F123,H123,J123,L123,N123)), SUM(F123,H123,J123,L123,N123))</f>
        <v/>
      </c>
    </row>
    <row r="124">
      <c r="A124" s="35" t="n">
        <v>14</v>
      </c>
      <c r="B124" s="24" t="inlineStr">
        <is>
          <t>Jens Fieberg</t>
        </is>
      </c>
      <c r="C124" s="24" t="n">
        <v>1970</v>
      </c>
      <c r="D124" s="24" t="inlineStr">
        <is>
          <t>SV Hanseklinikum</t>
        </is>
      </c>
      <c r="E124" s="25" t="n">
        <v>9.872</v>
      </c>
      <c r="F124" s="25" t="n">
        <v>31</v>
      </c>
      <c r="G124" s="26" t="n"/>
      <c r="H124" s="24" t="n"/>
      <c r="I124" s="26" t="n">
        <v>10.214</v>
      </c>
      <c r="J124" s="25" t="n">
        <v>30</v>
      </c>
      <c r="K124" s="26" t="n"/>
      <c r="L124" s="25" t="n"/>
      <c r="M124" s="26" t="n"/>
      <c r="N124" s="25" t="n"/>
      <c r="O124" s="27">
        <f>IF(COUNT(E124,G124,I124,K124,M124)=18,(SUM(E124,G124,I124,K124,M124)-MIN(E124,G124,I124,K124,M124)), SUM(E124,G124,I124,K124,M124))</f>
        <v/>
      </c>
      <c r="P124" s="36">
        <f>IF(COUNT(F124,H124,J124,L124,N124)=18,(SUM(F124,H124,J124,L124,N124)-MIN(F124,H124,J124,L124,N124)), SUM(F124,H124,J124,L124,N124))</f>
        <v/>
      </c>
    </row>
    <row r="125">
      <c r="A125" s="35" t="n">
        <v>15</v>
      </c>
      <c r="B125" s="24" t="inlineStr">
        <is>
          <t>Jürgen van Raemdonck</t>
        </is>
      </c>
      <c r="C125" s="24" t="n">
        <v>1952</v>
      </c>
      <c r="D125" s="24" t="inlineStr">
        <is>
          <t>HSG Laufclub</t>
        </is>
      </c>
      <c r="E125" s="25" t="n">
        <v>6.555</v>
      </c>
      <c r="F125" s="25" t="n">
        <v>30</v>
      </c>
      <c r="G125" s="26" t="n">
        <v>6.951</v>
      </c>
      <c r="H125" s="24" t="n">
        <v>28</v>
      </c>
      <c r="I125" s="26" t="n"/>
      <c r="J125" s="25" t="n"/>
      <c r="K125" s="26" t="n"/>
      <c r="L125" s="25" t="n"/>
      <c r="M125" s="26" t="n"/>
      <c r="N125" s="25" t="n"/>
      <c r="O125" s="27">
        <f>IF(COUNT(E125,G125,I125,K125,M125)=19,(SUM(E125,G125,I125,K125,M125)-MIN(E125,G125,I125,K125,M125)), SUM(E125,G125,I125,K125,M125))</f>
        <v/>
      </c>
      <c r="P125" s="36">
        <f>IF(COUNT(F125,H125,J125,L125,N125)=19,(SUM(F125,H125,J125,L125,N125)-MIN(F125,H125,J125,L125,N125)), SUM(F125,H125,J125,L125,N125))</f>
        <v/>
      </c>
    </row>
    <row r="126">
      <c r="A126" s="35" t="n">
        <v>16</v>
      </c>
      <c r="B126" s="24" t="inlineStr">
        <is>
          <t>Jakob Saar</t>
        </is>
      </c>
      <c r="C126" s="24" t="n">
        <v>2004</v>
      </c>
      <c r="D126" s="24" t="inlineStr">
        <is>
          <t>Turbine Halle</t>
        </is>
      </c>
      <c r="E126" s="25" t="n"/>
      <c r="F126" s="25" t="n"/>
      <c r="G126" s="26" t="n"/>
      <c r="H126" s="24" t="n"/>
      <c r="I126" s="26" t="n"/>
      <c r="J126" s="25" t="n"/>
      <c r="K126" s="26" t="n">
        <v>17.358</v>
      </c>
      <c r="L126" s="25" t="n">
        <v>50</v>
      </c>
      <c r="M126" s="26" t="n"/>
      <c r="N126" s="25" t="n"/>
      <c r="O126" s="27">
        <f>IF(COUNT(E126,G126,I126,K126,M126)=20,(SUM(E126,G126,I126,K126,M126)-MIN(E126,G126,I126,K126,M126)), SUM(E126,G126,I126,K126,M126))</f>
        <v/>
      </c>
      <c r="P126" s="36">
        <f>IF(COUNT(F126,H126,J126,L126,N126)=20,(SUM(F126,H126,J126,L126,N126)-MIN(F126,H126,J126,L126,N126)), SUM(F126,H126,J126,L126,N126))</f>
        <v/>
      </c>
    </row>
    <row r="127">
      <c r="A127" s="35" t="n">
        <v>17</v>
      </c>
      <c r="B127" s="24" t="inlineStr">
        <is>
          <t>Jonathan Voss</t>
        </is>
      </c>
      <c r="C127" s="24" t="n">
        <v>1991</v>
      </c>
      <c r="D127" s="24" t="inlineStr">
        <is>
          <t>LSV Güstrow</t>
        </is>
      </c>
      <c r="E127" s="25" t="n"/>
      <c r="F127" s="25" t="n"/>
      <c r="G127" s="26" t="n">
        <v>13.358</v>
      </c>
      <c r="H127" s="24" t="n">
        <v>38</v>
      </c>
      <c r="I127" s="26" t="n"/>
      <c r="J127" s="25" t="n"/>
      <c r="K127" s="26" t="n"/>
      <c r="L127" s="25" t="n"/>
      <c r="M127" s="26" t="n"/>
      <c r="N127" s="25" t="n"/>
      <c r="O127" s="27">
        <f>IF(COUNT(E127,G127,I127,K127,M127)=21,(SUM(E127,G127,I127,K127,M127)-MIN(E127,G127,I127,K127,M127)), SUM(E127,G127,I127,K127,M127))</f>
        <v/>
      </c>
      <c r="P127" s="36">
        <f>IF(COUNT(F127,H127,J127,L127,N127)=21,(SUM(F127,H127,J127,L127,N127)-MIN(F127,H127,J127,L127,N127)), SUM(F127,H127,J127,L127,N127))</f>
        <v/>
      </c>
    </row>
    <row r="128">
      <c r="A128" s="35" t="n">
        <v>18</v>
      </c>
      <c r="B128" s="24" t="inlineStr">
        <is>
          <t>Thomas Maaß</t>
        </is>
      </c>
      <c r="C128" s="24" t="n">
        <v>1963</v>
      </c>
      <c r="D128" s="24" t="inlineStr">
        <is>
          <t>Laufmützen Usedom</t>
        </is>
      </c>
      <c r="E128" s="25" t="n"/>
      <c r="F128" s="25" t="n"/>
      <c r="G128" s="26" t="n"/>
      <c r="H128" s="24" t="n"/>
      <c r="I128" s="26" t="n"/>
      <c r="J128" s="25" t="n"/>
      <c r="K128" s="26" t="n"/>
      <c r="L128" s="25" t="n"/>
      <c r="M128" s="26" t="n">
        <v>10.974</v>
      </c>
      <c r="N128" s="25" t="n">
        <v>38</v>
      </c>
      <c r="O128" s="27">
        <f>IF(COUNT(E128,G128,I128,K128,M128)=22,(SUM(E128,G128,I128,K128,M128)-MIN(E128,G128,I128,K128,M128)), SUM(E128,G128,I128,K128,M128))</f>
        <v/>
      </c>
      <c r="P128" s="36">
        <f>IF(COUNT(F128,H128,J128,L128,N128)=22,(SUM(F128,H128,J128,L128,N128)-MIN(F128,H128,J128,L128,N128)), SUM(F128,H128,J128,L128,N128))</f>
        <v/>
      </c>
    </row>
    <row r="129">
      <c r="A129" s="35" t="n">
        <v>19</v>
      </c>
      <c r="B129" s="24" t="inlineStr">
        <is>
          <t>Christian Pantke</t>
        </is>
      </c>
      <c r="C129" s="24" t="n">
        <v>1976</v>
      </c>
      <c r="D129" s="24" t="inlineStr">
        <is>
          <t>1. Surfverein Pommern Surf e.V.</t>
        </is>
      </c>
      <c r="E129" s="25" t="n">
        <v>12.511</v>
      </c>
      <c r="F129" s="25" t="n">
        <v>37</v>
      </c>
      <c r="G129" s="26" t="n"/>
      <c r="H129" s="24" t="n"/>
      <c r="I129" s="26" t="n"/>
      <c r="J129" s="25" t="n"/>
      <c r="K129" s="26" t="n"/>
      <c r="L129" s="25" t="n"/>
      <c r="M129" s="26" t="n"/>
      <c r="N129" s="25" t="n"/>
      <c r="O129" s="27">
        <f>IF(COUNT(E129,G129,I129,K129,M129)=23,(SUM(E129,G129,I129,K129,M129)-MIN(E129,G129,I129,K129,M129)), SUM(E129,G129,I129,K129,M129))</f>
        <v/>
      </c>
      <c r="P129" s="36">
        <f>IF(COUNT(F129,H129,J129,L129,N129)=23,(SUM(F129,H129,J129,L129,N129)-MIN(F129,H129,J129,L129,N129)), SUM(F129,H129,J129,L129,N129))</f>
        <v/>
      </c>
    </row>
    <row r="130">
      <c r="A130" s="35" t="n">
        <v>20</v>
      </c>
      <c r="B130" s="24" t="inlineStr">
        <is>
          <t>David Kiepsel</t>
        </is>
      </c>
      <c r="C130" s="24" t="n">
        <v>1980</v>
      </c>
      <c r="D130" s="24" t="inlineStr">
        <is>
          <t>INP</t>
        </is>
      </c>
      <c r="E130" s="25" t="n"/>
      <c r="F130" s="25" t="n"/>
      <c r="G130" s="26" t="n"/>
      <c r="H130" s="24" t="n"/>
      <c r="I130" s="26" t="n">
        <v>12.401</v>
      </c>
      <c r="J130" s="25" t="n">
        <v>36</v>
      </c>
      <c r="K130" s="26" t="n"/>
      <c r="L130" s="25" t="n"/>
      <c r="M130" s="26" t="n"/>
      <c r="N130" s="25" t="n"/>
      <c r="O130" s="27">
        <f>IF(COUNT(E130,G130,I130,K130,M130)=24,(SUM(E130,G130,I130,K130,M130)-MIN(E130,G130,I130,K130,M130)), SUM(E130,G130,I130,K130,M130))</f>
        <v/>
      </c>
      <c r="P130" s="36">
        <f>IF(COUNT(F130,H130,J130,L130,N130)=24,(SUM(F130,H130,J130,L130,N130)-MIN(F130,H130,J130,L130,N130)), SUM(F130,H130,J130,L130,N130))</f>
        <v/>
      </c>
    </row>
    <row r="131">
      <c r="A131" s="35" t="n">
        <v>21</v>
      </c>
      <c r="B131" s="24" t="inlineStr">
        <is>
          <t>Dirk Hübner</t>
        </is>
      </c>
      <c r="C131" s="24" t="n">
        <v>1966</v>
      </c>
      <c r="D131" s="24" t="inlineStr">
        <is>
          <t>HGW</t>
        </is>
      </c>
      <c r="E131" s="25" t="n"/>
      <c r="F131" s="25" t="n"/>
      <c r="G131" s="26" t="n"/>
      <c r="H131" s="24" t="n"/>
      <c r="I131" s="26" t="n"/>
      <c r="J131" s="25" t="n"/>
      <c r="K131" s="26" t="n">
        <v>12.489</v>
      </c>
      <c r="L131" s="25" t="n">
        <v>35</v>
      </c>
      <c r="M131" s="26" t="n"/>
      <c r="N131" s="25" t="n"/>
      <c r="O131" s="27">
        <f>IF(COUNT(E131,G131,I131,K131,M131)=25,(SUM(E131,G131,I131,K131,M131)-MIN(E131,G131,I131,K131,M131)), SUM(E131,G131,I131,K131,M131))</f>
        <v/>
      </c>
      <c r="P131" s="36">
        <f>IF(COUNT(F131,H131,J131,L131,N131)=25,(SUM(F131,H131,J131,L131,N131)-MIN(F131,H131,J131,L131,N131)), SUM(F131,H131,J131,L131,N131))</f>
        <v/>
      </c>
    </row>
    <row r="132">
      <c r="A132" s="35" t="n">
        <v>22</v>
      </c>
      <c r="B132" s="24" t="inlineStr">
        <is>
          <t>Robert Paeplow</t>
        </is>
      </c>
      <c r="C132" s="24" t="n">
        <v>1983</v>
      </c>
      <c r="D132" s="24" t="inlineStr">
        <is>
          <t>-</t>
        </is>
      </c>
      <c r="E132" s="25" t="n"/>
      <c r="F132" s="25" t="n"/>
      <c r="G132" s="26" t="n"/>
      <c r="H132" s="24" t="n"/>
      <c r="I132" s="26" t="n">
        <v>12.272</v>
      </c>
      <c r="J132" s="25" t="n">
        <v>35</v>
      </c>
      <c r="K132" s="26" t="n"/>
      <c r="L132" s="25" t="n"/>
      <c r="M132" s="26" t="n"/>
      <c r="N132" s="25" t="n"/>
      <c r="O132" s="27">
        <f>IF(COUNT(E132,G132,I132,K132,M132)=26,(SUM(E132,G132,I132,K132,M132)-MIN(E132,G132,I132,K132,M132)), SUM(E132,G132,I132,K132,M132))</f>
        <v/>
      </c>
      <c r="P132" s="36">
        <f>IF(COUNT(F132,H132,J132,L132,N132)=26,(SUM(F132,H132,J132,L132,N132)-MIN(F132,H132,J132,L132,N132)), SUM(F132,H132,J132,L132,N132))</f>
        <v/>
      </c>
    </row>
    <row r="133">
      <c r="A133" s="35" t="n">
        <v>23</v>
      </c>
      <c r="B133" s="24" t="inlineStr">
        <is>
          <t>Hans-Dieter Kammerahl</t>
        </is>
      </c>
      <c r="C133" s="24" t="n">
        <v>1955</v>
      </c>
      <c r="D133" s="24" t="inlineStr">
        <is>
          <t>Sportclub Wolgast</t>
        </is>
      </c>
      <c r="E133" s="25" t="n"/>
      <c r="F133" s="25" t="n"/>
      <c r="G133" s="26" t="n">
        <v>10.947</v>
      </c>
      <c r="H133" s="24" t="n">
        <v>32</v>
      </c>
      <c r="I133" s="26" t="n"/>
      <c r="J133" s="25" t="n"/>
      <c r="K133" s="26" t="n"/>
      <c r="L133" s="25" t="n"/>
      <c r="M133" s="26" t="n"/>
      <c r="N133" s="25" t="n"/>
      <c r="O133" s="27">
        <f>IF(COUNT(E133,G133,I133,K133,M133)=27,(SUM(E133,G133,I133,K133,M133)-MIN(E133,G133,I133,K133,M133)), SUM(E133,G133,I133,K133,M133))</f>
        <v/>
      </c>
      <c r="P133" s="36">
        <f>IF(COUNT(F133,H133,J133,L133,N133)=27,(SUM(F133,H133,J133,L133,N133)-MIN(F133,H133,J133,L133,N133)), SUM(F133,H133,J133,L133,N133))</f>
        <v/>
      </c>
    </row>
    <row r="134">
      <c r="A134" s="35" t="n">
        <v>24</v>
      </c>
      <c r="B134" s="24" t="inlineStr">
        <is>
          <t>David Kreyling</t>
        </is>
      </c>
      <c r="C134" s="24" t="n">
        <v>2006</v>
      </c>
      <c r="D134" s="24" t="inlineStr">
        <is>
          <t>-</t>
        </is>
      </c>
      <c r="E134" s="25" t="n"/>
      <c r="F134" s="25" t="n"/>
      <c r="G134" s="26" t="n"/>
      <c r="H134" s="24" t="n"/>
      <c r="I134" s="26" t="n"/>
      <c r="J134" s="25" t="n"/>
      <c r="K134" s="26" t="n">
        <v>10.732</v>
      </c>
      <c r="L134" s="25" t="n">
        <v>32</v>
      </c>
      <c r="M134" s="26" t="n"/>
      <c r="N134" s="25" t="n"/>
      <c r="O134" s="27">
        <f>IF(COUNT(E134,G134,I134,K134,M134)=28,(SUM(E134,G134,I134,K134,M134)-MIN(E134,G134,I134,K134,M134)), SUM(E134,G134,I134,K134,M134))</f>
        <v/>
      </c>
      <c r="P134" s="36">
        <f>IF(COUNT(F134,H134,J134,L134,N134)=28,(SUM(F134,H134,J134,L134,N134)-MIN(F134,H134,J134,L134,N134)), SUM(F134,H134,J134,L134,N134))</f>
        <v/>
      </c>
    </row>
    <row r="135">
      <c r="A135" s="35" t="n">
        <v>25</v>
      </c>
      <c r="B135" s="24" t="inlineStr">
        <is>
          <t>Stephan Jückstock</t>
        </is>
      </c>
      <c r="C135" s="24" t="n">
        <v>1964</v>
      </c>
      <c r="D135" s="24" t="n"/>
      <c r="E135" s="25" t="n"/>
      <c r="F135" s="25" t="n"/>
      <c r="G135" s="26" t="n"/>
      <c r="H135" s="24" t="n"/>
      <c r="I135" s="26" t="n"/>
      <c r="J135" s="25" t="n"/>
      <c r="K135" s="26" t="n">
        <v>7.017</v>
      </c>
      <c r="L135" s="25" t="n">
        <v>30</v>
      </c>
      <c r="M135" s="26" t="n"/>
      <c r="N135" s="25" t="n"/>
      <c r="O135" s="27">
        <f>IF(COUNT(E135,G135,I135,K135,M135)=29,(SUM(E135,G135,I135,K135,M135)-MIN(E135,G135,I135,K135,M135)), SUM(E135,G135,I135,K135,M135))</f>
        <v/>
      </c>
      <c r="P135" s="36">
        <f>IF(COUNT(F135,H135,J135,L135,N135)=29,(SUM(F135,H135,J135,L135,N135)-MIN(F135,H135,J135,L135,N135)), SUM(F135,H135,J135,L135,N135))</f>
        <v/>
      </c>
    </row>
    <row r="136">
      <c r="A136" s="35" t="n">
        <v>26</v>
      </c>
      <c r="B136" s="24" t="inlineStr">
        <is>
          <t>Sebastian Roß</t>
        </is>
      </c>
      <c r="C136" s="24" t="n">
        <v>1970</v>
      </c>
      <c r="D136" s="24" t="inlineStr">
        <is>
          <t>Laufmützen Usedom</t>
        </is>
      </c>
      <c r="E136" s="25" t="n"/>
      <c r="F136" s="25" t="n"/>
      <c r="G136" s="26" t="n"/>
      <c r="H136" s="24" t="n"/>
      <c r="I136" s="26" t="n">
        <v>10.106</v>
      </c>
      <c r="J136" s="25" t="n">
        <v>29</v>
      </c>
      <c r="K136" s="26" t="n"/>
      <c r="L136" s="25" t="n"/>
      <c r="M136" s="26" t="n"/>
      <c r="N136" s="25" t="n"/>
      <c r="O136" s="27">
        <f>IF(COUNT(E136,G136,I136,K136,M136)=30,(SUM(E136,G136,I136,K136,M136)-MIN(E136,G136,I136,K136,M136)), SUM(E136,G136,I136,K136,M136))</f>
        <v/>
      </c>
      <c r="P136" s="36">
        <f>IF(COUNT(F136,H136,J136,L136,N136)=30,(SUM(F136,H136,J136,L136,N136)-MIN(F136,H136,J136,L136,N136)), SUM(F136,H136,J136,L136,N136))</f>
        <v/>
      </c>
    </row>
    <row r="137">
      <c r="A137" s="35" t="n">
        <v>27</v>
      </c>
      <c r="B137" s="24" t="inlineStr">
        <is>
          <t>Thorsten Reul</t>
        </is>
      </c>
      <c r="C137" s="24" t="n">
        <v>1975</v>
      </c>
      <c r="D137" s="24" t="n"/>
      <c r="E137" s="25" t="n"/>
      <c r="F137" s="25" t="n"/>
      <c r="G137" s="26" t="n">
        <v>9.246</v>
      </c>
      <c r="H137" s="24" t="n">
        <v>29</v>
      </c>
      <c r="I137" s="26" t="n"/>
      <c r="J137" s="25" t="n"/>
      <c r="K137" s="26" t="n"/>
      <c r="L137" s="25" t="n"/>
      <c r="M137" s="26" t="n"/>
      <c r="N137" s="25" t="n"/>
      <c r="O137" s="27">
        <f>IF(COUNT(E137,G137,I137,K137,M137)=31,(SUM(E137,G137,I137,K137,M137)-MIN(E137,G137,I137,K137,M137)), SUM(E137,G137,I137,K137,M137))</f>
        <v/>
      </c>
      <c r="P137" s="36">
        <f>IF(COUNT(F137,H137,J137,L137,N137)=31,(SUM(F137,H137,J137,L137,N137)-MIN(F137,H137,J137,L137,N137)), SUM(F137,H137,J137,L137,N137))</f>
        <v/>
      </c>
    </row>
    <row r="138">
      <c r="A138" s="35" t="n">
        <v>28</v>
      </c>
      <c r="B138" s="24" t="inlineStr">
        <is>
          <t>Dr. Gunther Hormann</t>
        </is>
      </c>
      <c r="C138" s="24" t="n">
        <v>1957</v>
      </c>
      <c r="D138" s="24" t="inlineStr">
        <is>
          <t>Tram Bridge Run</t>
        </is>
      </c>
      <c r="E138" s="25" t="n"/>
      <c r="F138" s="25" t="n"/>
      <c r="G138" s="26" t="n"/>
      <c r="H138" s="24" t="n"/>
      <c r="I138" s="26" t="n">
        <v>9.493</v>
      </c>
      <c r="J138" s="25" t="n">
        <v>28</v>
      </c>
      <c r="K138" s="26" t="n"/>
      <c r="L138" s="25" t="n"/>
      <c r="M138" s="26" t="n"/>
      <c r="N138" s="25" t="n"/>
      <c r="O138" s="27">
        <f>IF(COUNT(E138,G138,I138,K138,M138)=32,(SUM(E138,G138,I138,K138,M138)-MIN(E138,G138,I138,K138,M138)), SUM(E138,G138,I138,K138,M138))</f>
        <v/>
      </c>
      <c r="P138" s="36">
        <f>IF(COUNT(F138,H138,J138,L138,N138)=32,(SUM(F138,H138,J138,L138,N138)-MIN(F138,H138,J138,L138,N138)), SUM(F138,H138,J138,L138,N138))</f>
        <v/>
      </c>
    </row>
  </sheetData>
  <mergeCells count="28">
    <mergeCell ref="O87:P87"/>
    <mergeCell ref="G2:H2"/>
    <mergeCell ref="I108:J108"/>
    <mergeCell ref="I2:J2"/>
    <mergeCell ref="A38:D38"/>
    <mergeCell ref="K108:L108"/>
    <mergeCell ref="M39:N39"/>
    <mergeCell ref="E39:F39"/>
    <mergeCell ref="O39:P39"/>
    <mergeCell ref="G39:H39"/>
    <mergeCell ref="M2:N2"/>
    <mergeCell ref="E87:F87"/>
    <mergeCell ref="O108:P108"/>
    <mergeCell ref="M108:N108"/>
    <mergeCell ref="A107:D107"/>
    <mergeCell ref="G87:H87"/>
    <mergeCell ref="A1:D1"/>
    <mergeCell ref="I87:J87"/>
    <mergeCell ref="E108:F108"/>
    <mergeCell ref="E2:F2"/>
    <mergeCell ref="K2:L2"/>
    <mergeCell ref="G108:H108"/>
    <mergeCell ref="I39:J39"/>
    <mergeCell ref="K39:L39"/>
    <mergeCell ref="O2:P2"/>
    <mergeCell ref="A86:D86"/>
    <mergeCell ref="K87:L87"/>
    <mergeCell ref="M87:N8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2024-10-18T21:52:29Z</dcterms:created>
  <dcterms:modified xsi:type="dcterms:W3CDTF">2024-10-18T21:52:32Z</dcterms:modified>
</cp:coreProperties>
</file>